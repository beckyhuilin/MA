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T7 Shield/MA/eye tracking/2 actors/synchronization/"/>
    </mc:Choice>
  </mc:AlternateContent>
  <xr:revisionPtr revIDLastSave="0" documentId="13_ncr:1_{A58BAD5B-FBD3-9E46-BB93-2EE31612D31F}" xr6:coauthVersionLast="47" xr6:coauthVersionMax="47" xr10:uidLastSave="{00000000-0000-0000-0000-000000000000}"/>
  <bookViews>
    <workbookView xWindow="0" yWindow="500" windowWidth="28800" windowHeight="16680" activeTab="1" xr2:uid="{00000000-000D-0000-FFFF-FFFF00000000}"/>
  </bookViews>
  <sheets>
    <sheet name="raw_eye_time" sheetId="1" r:id="rId1"/>
    <sheet name="asc_achor_ti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2" l="1"/>
  <c r="G83" i="2"/>
  <c r="H23" i="2"/>
  <c r="G23" i="2"/>
  <c r="I126" i="1"/>
  <c r="H126" i="1"/>
  <c r="I125" i="1"/>
  <c r="H125" i="1"/>
  <c r="I124" i="1"/>
  <c r="H124" i="1"/>
  <c r="I123" i="1"/>
  <c r="H123" i="1"/>
  <c r="I122" i="1"/>
  <c r="H122" i="1"/>
  <c r="I121" i="1"/>
  <c r="H121" i="1"/>
  <c r="I120" i="1"/>
  <c r="H120" i="1"/>
  <c r="I119" i="1"/>
  <c r="H119" i="1"/>
  <c r="I118" i="1"/>
  <c r="H118" i="1"/>
  <c r="I117" i="1"/>
  <c r="H117" i="1"/>
  <c r="I116" i="1"/>
  <c r="H116" i="1"/>
  <c r="I115" i="1"/>
  <c r="H115" i="1"/>
  <c r="I114" i="1"/>
  <c r="H114" i="1"/>
  <c r="I113" i="1"/>
  <c r="H113" i="1"/>
  <c r="I112" i="1"/>
  <c r="H112" i="1"/>
  <c r="I111" i="1"/>
  <c r="H111" i="1"/>
  <c r="I110" i="1"/>
  <c r="H110" i="1"/>
  <c r="I109" i="1"/>
  <c r="H109" i="1"/>
  <c r="I108" i="1"/>
  <c r="H108" i="1"/>
  <c r="I107" i="1"/>
  <c r="H107" i="1"/>
  <c r="I106" i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<sst xmlns="http://schemas.openxmlformats.org/spreadsheetml/2006/main" count="891" uniqueCount="54">
  <si>
    <t>Huilin</t>
  </si>
  <si>
    <t>Jakob</t>
  </si>
  <si>
    <t>subject_id</t>
  </si>
  <si>
    <t>run_number</t>
  </si>
  <si>
    <t>condition</t>
  </si>
  <si>
    <t>event_kind</t>
  </si>
  <si>
    <t>event_phase</t>
  </si>
  <si>
    <t>eye_time_s</t>
  </si>
  <si>
    <t>delta_s</t>
  </si>
  <si>
    <t>P01</t>
  </si>
  <si>
    <t>HV1</t>
  </si>
  <si>
    <t>run_start</t>
  </si>
  <si>
    <t>POINT</t>
  </si>
  <si>
    <t>AV0</t>
  </si>
  <si>
    <t>AV1</t>
  </si>
  <si>
    <t>AV2</t>
  </si>
  <si>
    <t>P02</t>
  </si>
  <si>
    <t>P03</t>
  </si>
  <si>
    <t>P04</t>
  </si>
  <si>
    <t>P05</t>
  </si>
  <si>
    <t>P06</t>
  </si>
  <si>
    <t>Scenario_2_Start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</si>
  <si>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</si>
  <si>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</si>
  <si>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</si>
  <si>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</si>
  <si>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</si>
  <si>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</si>
  <si>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</si>
  <si>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</si>
  <si>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</si>
  <si>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</si>
  <si>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</si>
  <si>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</si>
  <si>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</si>
  <si>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</si>
  <si>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</si>
  <si>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Scenario_1_Start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</si>
  <si>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</si>
  <si>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</si>
  <si>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</si>
  <si>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</si>
  <si>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</si>
  <si>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</si>
  <si>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</si>
  <si>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</si>
  <si>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</si>
  <si>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</si>
  <si>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asc_time_ms</t>
  </si>
  <si>
    <t>delta_ms</t>
  </si>
  <si>
    <t>average_ms</t>
  </si>
  <si>
    <t>anchor_eye_time_s</t>
  </si>
  <si>
    <t>final_average</t>
    <phoneticPr fontId="11" type="noConversion"/>
  </si>
  <si>
    <t>anchor_asc_time_ms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</si>
</sst>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2">
    <font>
      <sz val="12"/>
      <color theme="1"/>
      <name val="等线"/>
    </font>
    <font>
      <sz val="12"/>
      <color theme="1"/>
      <name val="等线"/>
      <family val="4"/>
      <charset val="134"/>
    </font>
    <font>
      <b/>
      <sz val="14"/>
      <color indexed="8"/>
      <name val="等线"/>
      <family val="4"/>
      <charset val="134"/>
    </font>
    <font>
      <sz val="13"/>
      <color indexed="8"/>
      <name val="等线"/>
      <family val="4"/>
      <charset val="134"/>
    </font>
    <font>
      <sz val="13"/>
      <color rgb="FFFF0000"/>
      <name val="等线"/>
      <family val="4"/>
      <charset val="134"/>
    </font>
    <font>
      <sz val="12"/>
      <color rgb="FFFF0000"/>
      <name val="等线"/>
      <family val="4"/>
      <charset val="134"/>
    </font>
    <font>
      <sz val="12"/>
      <color rgb="FF000000"/>
      <name val="等线"/>
      <family val="4"/>
      <charset val="134"/>
    </font>
    <font>
      <b/>
      <sz val="14"/>
      <color rgb="FF000000"/>
      <name val="等线"/>
      <family val="4"/>
      <charset val="134"/>
    </font>
    <font>
      <sz val="13"/>
      <color rgb="FF000000"/>
      <name val="等线"/>
      <family val="4"/>
      <charset val="134"/>
    </font>
    <font>
      <b/>
      <sz val="14"/>
      <color indexed="8"/>
      <name val="Helvetica Neue"/>
      <family val="2"/>
    </font>
    <font>
      <sz val="13"/>
      <color indexed="8"/>
      <name val="Helvetica Neue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right" vertical="center"/>
    </xf>
    <xf numFmtId="0" fontId="0" fillId="0" borderId="1" xfId="0" applyBorder="1">
      <alignment vertical="center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top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vertical="top"/>
    </xf>
    <xf numFmtId="49" fontId="8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right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49" fontId="2" fillId="2" borderId="3" xfId="0" applyNumberFormat="1" applyFont="1" applyFill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49" fontId="7" fillId="3" borderId="1" xfId="0" applyNumberFormat="1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6"/>
  <sheetViews>
    <sheetView workbookViewId="0">
      <selection activeCell="L12" sqref="L12"/>
    </sheetView>
  </sheetViews>
  <sheetFormatPr baseColWidth="10" defaultRowHeight="16"/>
  <cols>
    <col min="1" max="1" width="15" customWidth="1"/>
    <col min="2" max="2" width="16.6640625" customWidth="1"/>
    <col min="3" max="3" width="13.83203125" customWidth="1"/>
    <col min="4" max="4" width="16.6640625" customWidth="1"/>
    <col min="5" max="5" width="19" customWidth="1"/>
    <col min="6" max="6" width="24.5" customWidth="1"/>
    <col min="7" max="7" width="20" customWidth="1"/>
    <col min="9" max="9" width="21.6640625" customWidth="1"/>
  </cols>
  <sheetData>
    <row r="1" spans="1:9" ht="18">
      <c r="A1" s="5"/>
      <c r="B1" s="5"/>
      <c r="C1" s="5"/>
      <c r="D1" s="5"/>
      <c r="E1" s="5"/>
      <c r="F1" s="3" t="s">
        <v>0</v>
      </c>
      <c r="G1" s="3" t="s">
        <v>1</v>
      </c>
      <c r="H1" s="6"/>
      <c r="I1" s="3" t="s">
        <v>52</v>
      </c>
    </row>
    <row r="2" spans="1:9" ht="18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7</v>
      </c>
      <c r="H2" s="3" t="s">
        <v>8</v>
      </c>
      <c r="I2" s="3" t="s">
        <v>51</v>
      </c>
    </row>
    <row r="3" spans="1:9" ht="17">
      <c r="A3" s="1" t="s">
        <v>9</v>
      </c>
      <c r="B3" s="2">
        <v>1</v>
      </c>
      <c r="C3" s="1" t="s">
        <v>10</v>
      </c>
      <c r="D3" s="1" t="s">
        <v>11</v>
      </c>
      <c r="E3" s="1" t="s">
        <v>12</v>
      </c>
      <c r="F3" s="2">
        <v>235.9</v>
      </c>
      <c r="G3" s="4">
        <v>235.517</v>
      </c>
      <c r="H3" s="6">
        <f>F3-G3</f>
        <v>0.38300000000000978</v>
      </c>
      <c r="I3" s="6">
        <f>AVERAGE(F3:G3)</f>
        <v>235.70850000000002</v>
      </c>
    </row>
    <row r="4" spans="1:9" ht="17">
      <c r="A4" s="1" t="s">
        <v>9</v>
      </c>
      <c r="B4" s="2">
        <v>2</v>
      </c>
      <c r="C4" s="1" t="s">
        <v>13</v>
      </c>
      <c r="D4" s="1" t="s">
        <v>11</v>
      </c>
      <c r="E4" s="1" t="s">
        <v>12</v>
      </c>
      <c r="F4" s="2">
        <v>734.38300000000004</v>
      </c>
      <c r="G4" s="4">
        <v>733.83299999999997</v>
      </c>
      <c r="H4" s="6">
        <f t="shared" ref="H4:H68" si="0">F4-G4</f>
        <v>0.55000000000006821</v>
      </c>
      <c r="I4" s="6">
        <f t="shared" ref="I4:I68" si="1">AVERAGE(F4:G4)</f>
        <v>734.10799999999995</v>
      </c>
    </row>
    <row r="5" spans="1:9" ht="17">
      <c r="A5" s="1" t="s">
        <v>9</v>
      </c>
      <c r="B5" s="2">
        <v>3</v>
      </c>
      <c r="C5" s="1" t="s">
        <v>14</v>
      </c>
      <c r="D5" s="1" t="s">
        <v>11</v>
      </c>
      <c r="E5" s="1" t="s">
        <v>12</v>
      </c>
      <c r="F5" s="2">
        <v>1188.883</v>
      </c>
      <c r="G5" s="4">
        <v>1188.4000000000001</v>
      </c>
      <c r="H5" s="6">
        <f t="shared" si="0"/>
        <v>0.48299999999994725</v>
      </c>
      <c r="I5" s="6">
        <f t="shared" si="1"/>
        <v>1188.6415000000002</v>
      </c>
    </row>
    <row r="6" spans="1:9" ht="17">
      <c r="A6" s="1" t="s">
        <v>9</v>
      </c>
      <c r="B6" s="2">
        <v>4</v>
      </c>
      <c r="C6" s="1" t="s">
        <v>15</v>
      </c>
      <c r="D6" s="1" t="s">
        <v>11</v>
      </c>
      <c r="E6" s="1" t="s">
        <v>12</v>
      </c>
      <c r="F6" s="2">
        <v>1643.95</v>
      </c>
      <c r="G6" s="4">
        <v>1643.6</v>
      </c>
      <c r="H6" s="6">
        <f t="shared" si="0"/>
        <v>0.35000000000013642</v>
      </c>
      <c r="I6" s="6">
        <f t="shared" si="1"/>
        <v>1643.7750000000001</v>
      </c>
    </row>
    <row r="7" spans="1:9" ht="17">
      <c r="A7" s="1" t="s">
        <v>16</v>
      </c>
      <c r="B7" s="2">
        <v>1</v>
      </c>
      <c r="C7" s="1" t="s">
        <v>13</v>
      </c>
      <c r="D7" s="1" t="s">
        <v>11</v>
      </c>
      <c r="E7" s="1" t="s">
        <v>12</v>
      </c>
      <c r="F7" s="2">
        <v>493.983</v>
      </c>
      <c r="G7" s="4">
        <v>493.31700000000001</v>
      </c>
      <c r="H7" s="6">
        <f t="shared" si="0"/>
        <v>0.66599999999999682</v>
      </c>
      <c r="I7" s="6">
        <f t="shared" si="1"/>
        <v>493.65</v>
      </c>
    </row>
    <row r="8" spans="1:9" ht="17">
      <c r="A8" s="1" t="s">
        <v>16</v>
      </c>
      <c r="B8" s="2">
        <v>2</v>
      </c>
      <c r="C8" s="1" t="s">
        <v>10</v>
      </c>
      <c r="D8" s="1" t="s">
        <v>11</v>
      </c>
      <c r="E8" s="1" t="s">
        <v>12</v>
      </c>
      <c r="F8" s="2">
        <v>957.5</v>
      </c>
      <c r="G8" s="4">
        <v>957.08299999999997</v>
      </c>
      <c r="H8" s="6">
        <f t="shared" si="0"/>
        <v>0.41700000000003001</v>
      </c>
      <c r="I8" s="6">
        <f t="shared" si="1"/>
        <v>957.29150000000004</v>
      </c>
    </row>
    <row r="9" spans="1:9" ht="17">
      <c r="A9" s="1" t="s">
        <v>16</v>
      </c>
      <c r="B9" s="2">
        <v>3</v>
      </c>
      <c r="C9" s="1" t="s">
        <v>15</v>
      </c>
      <c r="D9" s="1" t="s">
        <v>11</v>
      </c>
      <c r="E9" s="1" t="s">
        <v>12</v>
      </c>
      <c r="F9" s="2">
        <v>1429.617</v>
      </c>
      <c r="G9" s="4">
        <v>1429.117</v>
      </c>
      <c r="H9" s="6">
        <f t="shared" si="0"/>
        <v>0.5</v>
      </c>
      <c r="I9" s="6">
        <f t="shared" si="1"/>
        <v>1429.367</v>
      </c>
    </row>
    <row r="10" spans="1:9" ht="17">
      <c r="A10" s="1" t="s">
        <v>16</v>
      </c>
      <c r="B10" s="2">
        <v>4</v>
      </c>
      <c r="C10" s="1" t="s">
        <v>14</v>
      </c>
      <c r="D10" s="1" t="s">
        <v>11</v>
      </c>
      <c r="E10" s="1" t="s">
        <v>12</v>
      </c>
      <c r="F10" s="2">
        <v>1893.133</v>
      </c>
      <c r="G10" s="4">
        <v>1892.567</v>
      </c>
      <c r="H10" s="6">
        <f t="shared" si="0"/>
        <v>0.56600000000003092</v>
      </c>
      <c r="I10" s="6">
        <f t="shared" si="1"/>
        <v>1892.85</v>
      </c>
    </row>
    <row r="11" spans="1:9" ht="17">
      <c r="A11" s="1" t="s">
        <v>17</v>
      </c>
      <c r="B11" s="2">
        <v>1</v>
      </c>
      <c r="C11" s="1" t="s">
        <v>10</v>
      </c>
      <c r="D11" s="1" t="s">
        <v>11</v>
      </c>
      <c r="E11" s="1" t="s">
        <v>12</v>
      </c>
      <c r="F11" s="2">
        <v>60.25</v>
      </c>
      <c r="G11" s="4">
        <v>59.783000000000001</v>
      </c>
      <c r="H11" s="6">
        <f t="shared" si="0"/>
        <v>0.46699999999999875</v>
      </c>
      <c r="I11" s="6">
        <f t="shared" si="1"/>
        <v>60.016500000000001</v>
      </c>
    </row>
    <row r="12" spans="1:9" ht="17">
      <c r="A12" s="1" t="s">
        <v>17</v>
      </c>
      <c r="B12" s="2">
        <v>2</v>
      </c>
      <c r="C12" s="1" t="s">
        <v>13</v>
      </c>
      <c r="D12" s="1" t="s">
        <v>11</v>
      </c>
      <c r="E12" s="1" t="s">
        <v>12</v>
      </c>
      <c r="F12" s="2">
        <v>501.78300000000002</v>
      </c>
      <c r="G12" s="4">
        <v>501.5</v>
      </c>
      <c r="H12" s="6">
        <f t="shared" si="0"/>
        <v>0.28300000000001546</v>
      </c>
      <c r="I12" s="6">
        <f t="shared" si="1"/>
        <v>501.64150000000001</v>
      </c>
    </row>
    <row r="13" spans="1:9" ht="17">
      <c r="A13" s="1" t="s">
        <v>17</v>
      </c>
      <c r="B13" s="2">
        <v>3</v>
      </c>
      <c r="C13" s="1" t="s">
        <v>14</v>
      </c>
      <c r="D13" s="1" t="s">
        <v>11</v>
      </c>
      <c r="E13" s="1" t="s">
        <v>12</v>
      </c>
      <c r="F13" s="2">
        <v>1216.4000000000001</v>
      </c>
      <c r="G13" s="4">
        <v>1216.067</v>
      </c>
      <c r="H13" s="6">
        <f t="shared" si="0"/>
        <v>0.33300000000008367</v>
      </c>
      <c r="I13" s="6">
        <f t="shared" si="1"/>
        <v>1216.2335</v>
      </c>
    </row>
    <row r="14" spans="1:9" ht="17">
      <c r="A14" s="1" t="s">
        <v>17</v>
      </c>
      <c r="B14" s="2">
        <v>4</v>
      </c>
      <c r="C14" s="1" t="s">
        <v>15</v>
      </c>
      <c r="D14" s="1" t="s">
        <v>11</v>
      </c>
      <c r="E14" s="1" t="s">
        <v>12</v>
      </c>
      <c r="F14" s="2">
        <v>1631.433</v>
      </c>
      <c r="G14" s="4">
        <v>1631.067</v>
      </c>
      <c r="H14" s="6">
        <f t="shared" si="0"/>
        <v>0.36599999999998545</v>
      </c>
      <c r="I14" s="6">
        <f t="shared" si="1"/>
        <v>1631.25</v>
      </c>
    </row>
    <row r="15" spans="1:9" ht="17">
      <c r="A15" s="1" t="s">
        <v>18</v>
      </c>
      <c r="B15" s="2">
        <v>1</v>
      </c>
      <c r="C15" s="1" t="s">
        <v>13</v>
      </c>
      <c r="D15" s="1" t="s">
        <v>11</v>
      </c>
      <c r="E15" s="1" t="s">
        <v>12</v>
      </c>
      <c r="F15" s="2">
        <v>51.582999999999998</v>
      </c>
      <c r="G15" s="4">
        <v>51.2</v>
      </c>
      <c r="H15" s="6">
        <f t="shared" si="0"/>
        <v>0.38299999999999557</v>
      </c>
      <c r="I15" s="6">
        <f t="shared" si="1"/>
        <v>51.391500000000001</v>
      </c>
    </row>
    <row r="16" spans="1:9" ht="17">
      <c r="A16" s="1" t="s">
        <v>18</v>
      </c>
      <c r="B16" s="2">
        <v>2</v>
      </c>
      <c r="C16" s="1" t="s">
        <v>10</v>
      </c>
      <c r="D16" s="1" t="s">
        <v>11</v>
      </c>
      <c r="E16" s="1" t="s">
        <v>12</v>
      </c>
      <c r="F16" s="2">
        <v>743.03300000000002</v>
      </c>
      <c r="G16" s="4">
        <v>742.51700000000005</v>
      </c>
      <c r="H16" s="6">
        <f t="shared" si="0"/>
        <v>0.51599999999996271</v>
      </c>
      <c r="I16" s="6">
        <f t="shared" si="1"/>
        <v>742.77500000000009</v>
      </c>
    </row>
    <row r="17" spans="1:9" ht="17">
      <c r="A17" s="1" t="s">
        <v>18</v>
      </c>
      <c r="B17" s="2">
        <v>3</v>
      </c>
      <c r="C17" s="1" t="s">
        <v>15</v>
      </c>
      <c r="D17" s="1" t="s">
        <v>11</v>
      </c>
      <c r="E17" s="1" t="s">
        <v>12</v>
      </c>
      <c r="F17" s="2">
        <v>1156.55</v>
      </c>
      <c r="G17" s="4">
        <v>1156.0830000000001</v>
      </c>
      <c r="H17" s="6">
        <f t="shared" si="0"/>
        <v>0.46699999999987085</v>
      </c>
      <c r="I17" s="6">
        <f t="shared" si="1"/>
        <v>1156.3164999999999</v>
      </c>
    </row>
    <row r="18" spans="1:9" ht="17">
      <c r="A18" s="1" t="s">
        <v>18</v>
      </c>
      <c r="B18" s="2">
        <v>4</v>
      </c>
      <c r="C18" s="1" t="s">
        <v>14</v>
      </c>
      <c r="D18" s="1" t="s">
        <v>11</v>
      </c>
      <c r="E18" s="1" t="s">
        <v>12</v>
      </c>
      <c r="F18" s="2">
        <v>1573.7829999999999</v>
      </c>
      <c r="G18" s="4">
        <v>1573.25</v>
      </c>
      <c r="H18" s="6">
        <f t="shared" si="0"/>
        <v>0.53299999999990177</v>
      </c>
      <c r="I18" s="6">
        <f t="shared" si="1"/>
        <v>1573.5165</v>
      </c>
    </row>
    <row r="19" spans="1:9" ht="17">
      <c r="A19" s="1" t="s">
        <v>19</v>
      </c>
      <c r="B19" s="2">
        <v>1</v>
      </c>
      <c r="C19" s="1" t="s">
        <v>10</v>
      </c>
      <c r="D19" s="1" t="s">
        <v>11</v>
      </c>
      <c r="E19" s="1" t="s">
        <v>12</v>
      </c>
      <c r="F19" s="2">
        <v>151.483</v>
      </c>
      <c r="G19" s="4">
        <v>151.03299999999999</v>
      </c>
      <c r="H19" s="6">
        <f t="shared" si="0"/>
        <v>0.45000000000001705</v>
      </c>
      <c r="I19" s="6">
        <f t="shared" si="1"/>
        <v>151.25799999999998</v>
      </c>
    </row>
    <row r="20" spans="1:9" ht="17">
      <c r="A20" s="1" t="s">
        <v>19</v>
      </c>
      <c r="B20" s="2">
        <v>2</v>
      </c>
      <c r="C20" s="1" t="s">
        <v>13</v>
      </c>
      <c r="D20" s="1" t="s">
        <v>11</v>
      </c>
      <c r="E20" s="1" t="s">
        <v>12</v>
      </c>
      <c r="F20" s="2">
        <v>602.29999999999995</v>
      </c>
      <c r="G20" s="4">
        <v>601.58299999999997</v>
      </c>
      <c r="H20" s="6">
        <f t="shared" si="0"/>
        <v>0.71699999999998454</v>
      </c>
      <c r="I20" s="6">
        <f t="shared" si="1"/>
        <v>601.94149999999991</v>
      </c>
    </row>
    <row r="21" spans="1:9" ht="17">
      <c r="A21" s="1" t="s">
        <v>19</v>
      </c>
      <c r="B21" s="2">
        <v>3</v>
      </c>
      <c r="C21" s="1" t="s">
        <v>15</v>
      </c>
      <c r="D21" s="1" t="s">
        <v>11</v>
      </c>
      <c r="E21" s="1" t="s">
        <v>12</v>
      </c>
      <c r="F21" s="2">
        <v>1024.067</v>
      </c>
      <c r="G21" s="4">
        <v>1023.6</v>
      </c>
      <c r="H21" s="6">
        <f t="shared" si="0"/>
        <v>0.46699999999998454</v>
      </c>
      <c r="I21" s="6">
        <f t="shared" si="1"/>
        <v>1023.8335</v>
      </c>
    </row>
    <row r="22" spans="1:9" ht="17">
      <c r="A22" s="1" t="s">
        <v>19</v>
      </c>
      <c r="B22" s="2">
        <v>4</v>
      </c>
      <c r="C22" s="1" t="s">
        <v>14</v>
      </c>
      <c r="D22" s="1" t="s">
        <v>11</v>
      </c>
      <c r="E22" s="1" t="s">
        <v>12</v>
      </c>
      <c r="F22" s="2">
        <v>1579.7</v>
      </c>
      <c r="G22" s="4">
        <v>1579</v>
      </c>
      <c r="H22" s="6">
        <f t="shared" si="0"/>
        <v>0.70000000000004547</v>
      </c>
      <c r="I22" s="6">
        <f t="shared" si="1"/>
        <v>1579.35</v>
      </c>
    </row>
    <row r="23" spans="1:9" s="11" customFormat="1" ht="17">
      <c r="A23" s="7" t="s">
        <v>20</v>
      </c>
      <c r="B23" s="8">
        <v>1</v>
      </c>
      <c r="C23" s="7" t="s">
        <v>13</v>
      </c>
      <c r="D23" s="7" t="s">
        <v>21</v>
      </c>
      <c r="E23" s="7" t="s">
        <v>12</v>
      </c>
      <c r="F23" s="8">
        <v>72.867000000000004</v>
      </c>
      <c r="G23" s="9">
        <v>72.483000000000004</v>
      </c>
      <c r="H23" s="10">
        <f t="shared" si="0"/>
        <v>0.38400000000000034</v>
      </c>
      <c r="I23" s="10">
        <f t="shared" si="1"/>
        <v>72.675000000000011</v>
      </c>
    </row>
    <row r="24" spans="1:9" ht="17">
      <c r="A24" s="1" t="s">
        <v>20</v>
      </c>
      <c r="B24" s="2">
        <v>2</v>
      </c>
      <c r="C24" s="1" t="s">
        <v>10</v>
      </c>
      <c r="D24" s="1" t="s">
        <v>11</v>
      </c>
      <c r="E24" s="1" t="s">
        <v>12</v>
      </c>
      <c r="F24" s="2">
        <v>399.8</v>
      </c>
      <c r="G24" s="4">
        <v>399.233</v>
      </c>
      <c r="H24" s="6">
        <f t="shared" si="0"/>
        <v>0.56700000000000728</v>
      </c>
      <c r="I24" s="6">
        <f t="shared" si="1"/>
        <v>399.51650000000001</v>
      </c>
    </row>
    <row r="25" spans="1:9" ht="17">
      <c r="A25" s="1" t="s">
        <v>20</v>
      </c>
      <c r="B25" s="2">
        <v>3</v>
      </c>
      <c r="C25" s="1" t="s">
        <v>14</v>
      </c>
      <c r="D25" s="1" t="s">
        <v>11</v>
      </c>
      <c r="E25" s="1" t="s">
        <v>12</v>
      </c>
      <c r="F25" s="2">
        <v>823.73299999999995</v>
      </c>
      <c r="G25" s="4">
        <v>823.18299999999999</v>
      </c>
      <c r="H25" s="6">
        <f t="shared" si="0"/>
        <v>0.54999999999995453</v>
      </c>
      <c r="I25" s="6">
        <f t="shared" si="1"/>
        <v>823.45799999999997</v>
      </c>
    </row>
    <row r="26" spans="1:9" ht="17">
      <c r="A26" s="1" t="s">
        <v>20</v>
      </c>
      <c r="B26" s="2">
        <v>4</v>
      </c>
      <c r="C26" s="1" t="s">
        <v>15</v>
      </c>
      <c r="D26" s="1" t="s">
        <v>11</v>
      </c>
      <c r="E26" s="1" t="s">
        <v>12</v>
      </c>
      <c r="F26" s="2">
        <v>1262.633</v>
      </c>
      <c r="G26" s="4">
        <v>1262.0170000000001</v>
      </c>
      <c r="H26" s="6">
        <f t="shared" si="0"/>
        <v>0.61599999999998545</v>
      </c>
      <c r="I26" s="6">
        <f t="shared" si="1"/>
        <v>1262.325</v>
      </c>
    </row>
    <row r="27" spans="1:9" ht="17">
      <c r="A27" s="1" t="s">
        <v>22</v>
      </c>
      <c r="B27" s="2">
        <v>1</v>
      </c>
      <c r="C27" s="1" t="s">
        <v>10</v>
      </c>
      <c r="D27" s="1" t="s">
        <v>11</v>
      </c>
      <c r="E27" s="1" t="s">
        <v>12</v>
      </c>
      <c r="F27" s="2">
        <v>57.267000000000003</v>
      </c>
      <c r="G27" s="4">
        <v>56.6</v>
      </c>
      <c r="H27" s="6">
        <f t="shared" si="0"/>
        <v>0.66700000000000159</v>
      </c>
      <c r="I27" s="6">
        <f t="shared" si="1"/>
        <v>56.933500000000002</v>
      </c>
    </row>
    <row r="28" spans="1:9" ht="17">
      <c r="A28" s="1" t="s">
        <v>22</v>
      </c>
      <c r="B28" s="2">
        <v>2</v>
      </c>
      <c r="C28" s="1" t="s">
        <v>13</v>
      </c>
      <c r="D28" s="1" t="s">
        <v>11</v>
      </c>
      <c r="E28" s="1" t="s">
        <v>12</v>
      </c>
      <c r="F28" s="2">
        <v>469.81700000000001</v>
      </c>
      <c r="G28" s="4">
        <v>469.517</v>
      </c>
      <c r="H28" s="6">
        <f t="shared" si="0"/>
        <v>0.30000000000001137</v>
      </c>
      <c r="I28" s="6">
        <f t="shared" si="1"/>
        <v>469.66700000000003</v>
      </c>
    </row>
    <row r="29" spans="1:9" ht="17">
      <c r="A29" s="1" t="s">
        <v>22</v>
      </c>
      <c r="B29" s="2">
        <v>3</v>
      </c>
      <c r="C29" s="1" t="s">
        <v>14</v>
      </c>
      <c r="D29" s="1" t="s">
        <v>11</v>
      </c>
      <c r="E29" s="1" t="s">
        <v>12</v>
      </c>
      <c r="F29" s="2">
        <v>884.76700000000005</v>
      </c>
      <c r="G29" s="4">
        <v>884.25</v>
      </c>
      <c r="H29" s="6">
        <f t="shared" si="0"/>
        <v>0.51700000000005275</v>
      </c>
      <c r="I29" s="6">
        <f t="shared" si="1"/>
        <v>884.50850000000003</v>
      </c>
    </row>
    <row r="30" spans="1:9" ht="17">
      <c r="A30" s="1" t="s">
        <v>22</v>
      </c>
      <c r="B30" s="2">
        <v>4</v>
      </c>
      <c r="C30" s="1" t="s">
        <v>15</v>
      </c>
      <c r="D30" s="1" t="s">
        <v>11</v>
      </c>
      <c r="E30" s="1" t="s">
        <v>12</v>
      </c>
      <c r="F30" s="2">
        <v>1310.317</v>
      </c>
      <c r="G30" s="4">
        <v>1309.5830000000001</v>
      </c>
      <c r="H30" s="6">
        <f t="shared" si="0"/>
        <v>0.7339999999999236</v>
      </c>
      <c r="I30" s="6">
        <f t="shared" si="1"/>
        <v>1309.95</v>
      </c>
    </row>
    <row r="31" spans="1:9" ht="17">
      <c r="A31" s="1" t="s">
        <v>23</v>
      </c>
      <c r="B31" s="2">
        <v>1</v>
      </c>
      <c r="C31" s="1" t="s">
        <v>13</v>
      </c>
      <c r="D31" s="1" t="s">
        <v>11</v>
      </c>
      <c r="E31" s="1" t="s">
        <v>12</v>
      </c>
      <c r="F31" s="2">
        <v>46.332999999999998</v>
      </c>
      <c r="G31" s="4">
        <v>45.866999999999997</v>
      </c>
      <c r="H31" s="6">
        <f t="shared" si="0"/>
        <v>0.46600000000000108</v>
      </c>
      <c r="I31" s="6">
        <f t="shared" si="1"/>
        <v>46.099999999999994</v>
      </c>
    </row>
    <row r="32" spans="1:9" ht="17">
      <c r="A32" s="1" t="s">
        <v>23</v>
      </c>
      <c r="B32" s="2">
        <v>2</v>
      </c>
      <c r="C32" s="1" t="s">
        <v>10</v>
      </c>
      <c r="D32" s="1" t="s">
        <v>11</v>
      </c>
      <c r="E32" s="1" t="s">
        <v>12</v>
      </c>
      <c r="F32" s="2">
        <v>473.9</v>
      </c>
      <c r="G32" s="4">
        <v>473.33300000000003</v>
      </c>
      <c r="H32" s="6">
        <f t="shared" si="0"/>
        <v>0.56699999999995043</v>
      </c>
      <c r="I32" s="6">
        <f t="shared" si="1"/>
        <v>473.61649999999997</v>
      </c>
    </row>
    <row r="33" spans="1:9" ht="17">
      <c r="A33" s="1" t="s">
        <v>23</v>
      </c>
      <c r="B33" s="2">
        <v>3</v>
      </c>
      <c r="C33" s="1" t="s">
        <v>15</v>
      </c>
      <c r="D33" s="1" t="s">
        <v>11</v>
      </c>
      <c r="E33" s="1" t="s">
        <v>12</v>
      </c>
      <c r="F33" s="2">
        <v>873.85</v>
      </c>
      <c r="G33" s="4">
        <v>873.38300000000004</v>
      </c>
      <c r="H33" s="6">
        <f t="shared" si="0"/>
        <v>0.46699999999998454</v>
      </c>
      <c r="I33" s="6">
        <f t="shared" si="1"/>
        <v>873.61650000000009</v>
      </c>
    </row>
    <row r="34" spans="1:9" ht="17">
      <c r="A34" s="1" t="s">
        <v>23</v>
      </c>
      <c r="B34" s="2">
        <v>4</v>
      </c>
      <c r="C34" s="1" t="s">
        <v>14</v>
      </c>
      <c r="D34" s="1" t="s">
        <v>11</v>
      </c>
      <c r="E34" s="1" t="s">
        <v>12</v>
      </c>
      <c r="F34" s="2">
        <v>1284.5999999999999</v>
      </c>
      <c r="G34" s="4">
        <v>1284.0830000000001</v>
      </c>
      <c r="H34" s="6">
        <f t="shared" si="0"/>
        <v>0.51699999999982538</v>
      </c>
      <c r="I34" s="6">
        <f t="shared" si="1"/>
        <v>1284.3415</v>
      </c>
    </row>
    <row r="35" spans="1:9" ht="17">
      <c r="A35" s="1" t="s">
        <v>24</v>
      </c>
      <c r="B35" s="2">
        <v>1</v>
      </c>
      <c r="C35" s="1" t="s">
        <v>10</v>
      </c>
      <c r="D35" s="1" t="s">
        <v>11</v>
      </c>
      <c r="E35" s="1" t="s">
        <v>12</v>
      </c>
      <c r="F35" s="2">
        <v>28.332999999999998</v>
      </c>
      <c r="G35" s="4">
        <v>27.832000000000001</v>
      </c>
      <c r="H35" s="6">
        <f t="shared" si="0"/>
        <v>0.50099999999999767</v>
      </c>
      <c r="I35" s="6">
        <f t="shared" si="1"/>
        <v>28.0825</v>
      </c>
    </row>
    <row r="36" spans="1:9" ht="17">
      <c r="A36" s="1" t="s">
        <v>24</v>
      </c>
      <c r="B36" s="2">
        <v>2</v>
      </c>
      <c r="C36" s="1" t="s">
        <v>13</v>
      </c>
      <c r="D36" s="1" t="s">
        <v>11</v>
      </c>
      <c r="E36" s="1" t="s">
        <v>12</v>
      </c>
      <c r="F36" s="2">
        <v>494.06700000000001</v>
      </c>
      <c r="G36" s="4">
        <v>493.55</v>
      </c>
      <c r="H36" s="6">
        <f t="shared" si="0"/>
        <v>0.51699999999999591</v>
      </c>
      <c r="I36" s="6">
        <f t="shared" si="1"/>
        <v>493.80849999999998</v>
      </c>
    </row>
    <row r="37" spans="1:9" ht="17">
      <c r="A37" s="1" t="s">
        <v>24</v>
      </c>
      <c r="B37" s="2">
        <v>3</v>
      </c>
      <c r="C37" s="1" t="s">
        <v>14</v>
      </c>
      <c r="D37" s="1" t="s">
        <v>11</v>
      </c>
      <c r="E37" s="1" t="s">
        <v>12</v>
      </c>
      <c r="F37" s="2">
        <v>889.28300000000002</v>
      </c>
      <c r="G37" s="4">
        <v>888.78300000000002</v>
      </c>
      <c r="H37" s="6">
        <f t="shared" si="0"/>
        <v>0.5</v>
      </c>
      <c r="I37" s="6">
        <f t="shared" si="1"/>
        <v>889.03300000000002</v>
      </c>
    </row>
    <row r="38" spans="1:9" ht="17">
      <c r="A38" s="1" t="s">
        <v>24</v>
      </c>
      <c r="B38" s="2">
        <v>4</v>
      </c>
      <c r="C38" s="1" t="s">
        <v>15</v>
      </c>
      <c r="D38" s="1" t="s">
        <v>11</v>
      </c>
      <c r="E38" s="1" t="s">
        <v>12</v>
      </c>
      <c r="F38" s="2">
        <v>1288.367</v>
      </c>
      <c r="G38" s="4">
        <v>1287.933</v>
      </c>
      <c r="H38" s="6">
        <f t="shared" si="0"/>
        <v>0.43399999999996908</v>
      </c>
      <c r="I38" s="6">
        <f t="shared" si="1"/>
        <v>1288.1500000000001</v>
      </c>
    </row>
    <row r="39" spans="1:9" ht="17">
      <c r="A39" s="1" t="s">
        <v>25</v>
      </c>
      <c r="B39" s="2">
        <v>1</v>
      </c>
      <c r="C39" s="1" t="s">
        <v>13</v>
      </c>
      <c r="D39" s="1" t="s">
        <v>11</v>
      </c>
      <c r="E39" s="1" t="s">
        <v>12</v>
      </c>
      <c r="F39" s="2">
        <v>285.55</v>
      </c>
      <c r="G39" s="4">
        <v>285.03300000000002</v>
      </c>
      <c r="H39" s="6">
        <f t="shared" si="0"/>
        <v>0.51699999999999591</v>
      </c>
      <c r="I39" s="6">
        <f t="shared" si="1"/>
        <v>285.29150000000004</v>
      </c>
    </row>
    <row r="40" spans="1:9" ht="17">
      <c r="A40" s="1" t="s">
        <v>25</v>
      </c>
      <c r="B40" s="2">
        <v>2</v>
      </c>
      <c r="C40" s="1" t="s">
        <v>10</v>
      </c>
      <c r="D40" s="1" t="s">
        <v>11</v>
      </c>
      <c r="E40" s="1" t="s">
        <v>12</v>
      </c>
      <c r="F40" s="2">
        <v>816.2</v>
      </c>
      <c r="G40" s="4">
        <v>815.85</v>
      </c>
      <c r="H40" s="6">
        <f t="shared" si="0"/>
        <v>0.35000000000002274</v>
      </c>
      <c r="I40" s="6">
        <f t="shared" si="1"/>
        <v>816.02500000000009</v>
      </c>
    </row>
    <row r="41" spans="1:9" ht="17">
      <c r="A41" s="1" t="s">
        <v>25</v>
      </c>
      <c r="B41" s="2">
        <v>3</v>
      </c>
      <c r="C41" s="1" t="s">
        <v>15</v>
      </c>
      <c r="D41" s="1" t="s">
        <v>11</v>
      </c>
      <c r="E41" s="1" t="s">
        <v>12</v>
      </c>
      <c r="F41" s="2">
        <v>1437.067</v>
      </c>
      <c r="G41" s="4">
        <v>1436.634</v>
      </c>
      <c r="H41" s="6">
        <f t="shared" si="0"/>
        <v>0.43299999999999272</v>
      </c>
      <c r="I41" s="6">
        <f t="shared" si="1"/>
        <v>1436.8505</v>
      </c>
    </row>
    <row r="42" spans="1:9" ht="17">
      <c r="A42" s="1" t="s">
        <v>25</v>
      </c>
      <c r="B42" s="2">
        <v>4</v>
      </c>
      <c r="C42" s="1" t="s">
        <v>14</v>
      </c>
      <c r="D42" s="1" t="s">
        <v>11</v>
      </c>
      <c r="E42" s="1" t="s">
        <v>12</v>
      </c>
      <c r="F42" s="2">
        <v>1832.2670000000001</v>
      </c>
      <c r="G42" s="4">
        <v>1831.8340000000001</v>
      </c>
      <c r="H42" s="6">
        <f t="shared" si="0"/>
        <v>0.43299999999999272</v>
      </c>
      <c r="I42" s="6">
        <f t="shared" si="1"/>
        <v>1832.0505000000001</v>
      </c>
    </row>
    <row r="43" spans="1:9" ht="17">
      <c r="A43" s="1" t="s">
        <v>26</v>
      </c>
      <c r="B43" s="2">
        <v>1</v>
      </c>
      <c r="C43" s="1" t="s">
        <v>10</v>
      </c>
      <c r="D43" s="1" t="s">
        <v>11</v>
      </c>
      <c r="E43" s="1" t="s">
        <v>12</v>
      </c>
      <c r="F43" s="2">
        <v>82.266999999999996</v>
      </c>
      <c r="G43" s="4">
        <v>81.8</v>
      </c>
      <c r="H43" s="6">
        <f t="shared" si="0"/>
        <v>0.46699999999999875</v>
      </c>
      <c r="I43" s="6">
        <f t="shared" si="1"/>
        <v>82.033500000000004</v>
      </c>
    </row>
    <row r="44" spans="1:9" ht="17">
      <c r="A44" s="1" t="s">
        <v>26</v>
      </c>
      <c r="B44" s="2">
        <v>2</v>
      </c>
      <c r="C44" s="1" t="s">
        <v>13</v>
      </c>
      <c r="D44" s="1" t="s">
        <v>11</v>
      </c>
      <c r="E44" s="1" t="s">
        <v>12</v>
      </c>
      <c r="F44" s="2">
        <v>493.517</v>
      </c>
      <c r="G44" s="4">
        <v>493</v>
      </c>
      <c r="H44" s="6">
        <f t="shared" si="0"/>
        <v>0.51699999999999591</v>
      </c>
      <c r="I44" s="6">
        <f t="shared" si="1"/>
        <v>493.25850000000003</v>
      </c>
    </row>
    <row r="45" spans="1:9" ht="17">
      <c r="A45" s="1" t="s">
        <v>26</v>
      </c>
      <c r="B45" s="2">
        <v>3</v>
      </c>
      <c r="C45" s="1" t="s">
        <v>14</v>
      </c>
      <c r="D45" s="1" t="s">
        <v>11</v>
      </c>
      <c r="E45" s="1" t="s">
        <v>12</v>
      </c>
      <c r="F45" s="2">
        <v>1087.9000000000001</v>
      </c>
      <c r="G45" s="4">
        <v>1087.4670000000001</v>
      </c>
      <c r="H45" s="6">
        <f t="shared" si="0"/>
        <v>0.43299999999999272</v>
      </c>
      <c r="I45" s="6">
        <f t="shared" si="1"/>
        <v>1087.6835000000001</v>
      </c>
    </row>
    <row r="46" spans="1:9" ht="17">
      <c r="A46" s="1" t="s">
        <v>26</v>
      </c>
      <c r="B46" s="2">
        <v>4</v>
      </c>
      <c r="C46" s="1" t="s">
        <v>15</v>
      </c>
      <c r="D46" s="1" t="s">
        <v>11</v>
      </c>
      <c r="E46" s="1" t="s">
        <v>12</v>
      </c>
      <c r="F46" s="2">
        <v>1497.7</v>
      </c>
      <c r="G46" s="4">
        <v>1497.2170000000001</v>
      </c>
      <c r="H46" s="6">
        <f t="shared" si="0"/>
        <v>0.48299999999994725</v>
      </c>
      <c r="I46" s="6">
        <f t="shared" si="1"/>
        <v>1497.4585000000002</v>
      </c>
    </row>
    <row r="47" spans="1:9" ht="17">
      <c r="A47" s="1" t="s">
        <v>27</v>
      </c>
      <c r="B47" s="2">
        <v>1</v>
      </c>
      <c r="C47" s="1" t="s">
        <v>13</v>
      </c>
      <c r="D47" s="1" t="s">
        <v>11</v>
      </c>
      <c r="E47" s="1" t="s">
        <v>12</v>
      </c>
      <c r="F47" s="2">
        <v>342.08300000000003</v>
      </c>
      <c r="G47" s="4">
        <v>341.68299999999999</v>
      </c>
      <c r="H47" s="6">
        <f t="shared" si="0"/>
        <v>0.40000000000003411</v>
      </c>
      <c r="I47" s="6">
        <f t="shared" si="1"/>
        <v>341.88300000000004</v>
      </c>
    </row>
    <row r="48" spans="1:9" ht="17">
      <c r="A48" s="1" t="s">
        <v>27</v>
      </c>
      <c r="B48" s="2">
        <v>2</v>
      </c>
      <c r="C48" s="1" t="s">
        <v>10</v>
      </c>
      <c r="D48" s="1" t="s">
        <v>11</v>
      </c>
      <c r="E48" s="1" t="s">
        <v>12</v>
      </c>
      <c r="F48" s="2">
        <v>773.3</v>
      </c>
      <c r="G48" s="4">
        <v>772.95</v>
      </c>
      <c r="H48" s="6">
        <f t="shared" si="0"/>
        <v>0.34999999999990905</v>
      </c>
      <c r="I48" s="6">
        <f t="shared" si="1"/>
        <v>773.125</v>
      </c>
    </row>
    <row r="49" spans="1:9" ht="17">
      <c r="A49" s="1" t="s">
        <v>27</v>
      </c>
      <c r="B49" s="2">
        <v>3</v>
      </c>
      <c r="C49" s="1" t="s">
        <v>15</v>
      </c>
      <c r="D49" s="1" t="s">
        <v>11</v>
      </c>
      <c r="E49" s="1" t="s">
        <v>12</v>
      </c>
      <c r="F49" s="2">
        <v>1215.067</v>
      </c>
      <c r="G49" s="4">
        <v>1214.567</v>
      </c>
      <c r="H49" s="6">
        <f t="shared" si="0"/>
        <v>0.5</v>
      </c>
      <c r="I49" s="6">
        <f t="shared" si="1"/>
        <v>1214.817</v>
      </c>
    </row>
    <row r="50" spans="1:9" ht="17">
      <c r="A50" s="1" t="s">
        <v>27</v>
      </c>
      <c r="B50" s="2">
        <v>4</v>
      </c>
      <c r="C50" s="1" t="s">
        <v>14</v>
      </c>
      <c r="D50" s="1" t="s">
        <v>11</v>
      </c>
      <c r="E50" s="1" t="s">
        <v>12</v>
      </c>
      <c r="F50" s="2">
        <v>1667.317</v>
      </c>
      <c r="G50" s="4">
        <v>1666.9829999999999</v>
      </c>
      <c r="H50" s="6">
        <f t="shared" si="0"/>
        <v>0.33400000000006003</v>
      </c>
      <c r="I50" s="6">
        <f t="shared" si="1"/>
        <v>1667.15</v>
      </c>
    </row>
    <row r="51" spans="1:9" ht="17">
      <c r="A51" s="1" t="s">
        <v>28</v>
      </c>
      <c r="B51" s="2">
        <v>1</v>
      </c>
      <c r="C51" s="1" t="s">
        <v>10</v>
      </c>
      <c r="D51" s="1" t="s">
        <v>11</v>
      </c>
      <c r="E51" s="1" t="s">
        <v>12</v>
      </c>
      <c r="F51" s="2">
        <v>256.89999999999998</v>
      </c>
      <c r="G51" s="4">
        <v>256.38299999999998</v>
      </c>
      <c r="H51" s="6">
        <f t="shared" si="0"/>
        <v>0.51699999999999591</v>
      </c>
      <c r="I51" s="6">
        <f t="shared" si="1"/>
        <v>256.64149999999995</v>
      </c>
    </row>
    <row r="52" spans="1:9" ht="17">
      <c r="A52" s="1" t="s">
        <v>28</v>
      </c>
      <c r="B52" s="2">
        <v>2</v>
      </c>
      <c r="C52" s="1" t="s">
        <v>13</v>
      </c>
      <c r="D52" s="1" t="s">
        <v>11</v>
      </c>
      <c r="E52" s="1" t="s">
        <v>12</v>
      </c>
      <c r="F52" s="2">
        <v>712.38300000000004</v>
      </c>
      <c r="G52" s="4">
        <v>711.55</v>
      </c>
      <c r="H52" s="6">
        <f t="shared" si="0"/>
        <v>0.83300000000008367</v>
      </c>
      <c r="I52" s="6">
        <f t="shared" si="1"/>
        <v>711.9665</v>
      </c>
    </row>
    <row r="53" spans="1:9" ht="17">
      <c r="A53" s="1" t="s">
        <v>28</v>
      </c>
      <c r="B53" s="2">
        <v>3</v>
      </c>
      <c r="C53" s="1" t="s">
        <v>14</v>
      </c>
      <c r="D53" s="1" t="s">
        <v>11</v>
      </c>
      <c r="E53" s="1" t="s">
        <v>12</v>
      </c>
      <c r="F53" s="2">
        <v>1171.0329999999999</v>
      </c>
      <c r="G53" s="4">
        <v>1170.4000000000001</v>
      </c>
      <c r="H53" s="6">
        <f t="shared" si="0"/>
        <v>0.63299999999981083</v>
      </c>
      <c r="I53" s="6">
        <f t="shared" si="1"/>
        <v>1170.7165</v>
      </c>
    </row>
    <row r="54" spans="1:9" ht="17">
      <c r="A54" s="1" t="s">
        <v>28</v>
      </c>
      <c r="B54" s="2">
        <v>4</v>
      </c>
      <c r="C54" s="1" t="s">
        <v>15</v>
      </c>
      <c r="D54" s="1" t="s">
        <v>11</v>
      </c>
      <c r="E54" s="1" t="s">
        <v>12</v>
      </c>
      <c r="F54" s="2">
        <v>2168.9830000000002</v>
      </c>
      <c r="G54" s="4">
        <v>2168.2829999999999</v>
      </c>
      <c r="H54" s="6">
        <f t="shared" si="0"/>
        <v>0.70000000000027285</v>
      </c>
      <c r="I54" s="6">
        <f t="shared" si="1"/>
        <v>2168.6329999999998</v>
      </c>
    </row>
    <row r="55" spans="1:9" ht="17">
      <c r="A55" s="1" t="s">
        <v>29</v>
      </c>
      <c r="B55" s="2">
        <v>1</v>
      </c>
      <c r="C55" s="1" t="s">
        <v>13</v>
      </c>
      <c r="D55" s="1" t="s">
        <v>11</v>
      </c>
      <c r="E55" s="1" t="s">
        <v>12</v>
      </c>
      <c r="F55" s="2">
        <v>264.06700000000001</v>
      </c>
      <c r="G55" s="4">
        <v>263.517</v>
      </c>
      <c r="H55" s="6">
        <f t="shared" si="0"/>
        <v>0.55000000000001137</v>
      </c>
      <c r="I55" s="6">
        <f t="shared" si="1"/>
        <v>263.79200000000003</v>
      </c>
    </row>
    <row r="56" spans="1:9" ht="17">
      <c r="A56" s="1" t="s">
        <v>29</v>
      </c>
      <c r="B56" s="2">
        <v>2</v>
      </c>
      <c r="C56" s="1" t="s">
        <v>10</v>
      </c>
      <c r="D56" s="1" t="s">
        <v>11</v>
      </c>
      <c r="E56" s="1" t="s">
        <v>12</v>
      </c>
      <c r="F56" s="2">
        <v>821.91700000000003</v>
      </c>
      <c r="G56" s="4">
        <v>821.38300000000004</v>
      </c>
      <c r="H56" s="6">
        <f t="shared" si="0"/>
        <v>0.53399999999999181</v>
      </c>
      <c r="I56" s="6">
        <f t="shared" si="1"/>
        <v>821.65000000000009</v>
      </c>
    </row>
    <row r="57" spans="1:9" ht="17">
      <c r="A57" s="1" t="s">
        <v>29</v>
      </c>
      <c r="B57" s="2">
        <v>3</v>
      </c>
      <c r="C57" s="1" t="s">
        <v>15</v>
      </c>
      <c r="D57" s="1" t="s">
        <v>11</v>
      </c>
      <c r="E57" s="1" t="s">
        <v>12</v>
      </c>
      <c r="F57" s="2">
        <v>1303.5</v>
      </c>
      <c r="G57" s="4">
        <v>1303.1669999999999</v>
      </c>
      <c r="H57" s="6">
        <f t="shared" si="0"/>
        <v>0.33300000000008367</v>
      </c>
      <c r="I57" s="6">
        <f t="shared" si="1"/>
        <v>1303.3335</v>
      </c>
    </row>
    <row r="58" spans="1:9" ht="17">
      <c r="A58" s="1" t="s">
        <v>29</v>
      </c>
      <c r="B58" s="2">
        <v>4</v>
      </c>
      <c r="C58" s="1" t="s">
        <v>14</v>
      </c>
      <c r="D58" s="1" t="s">
        <v>11</v>
      </c>
      <c r="E58" s="1" t="s">
        <v>12</v>
      </c>
      <c r="F58" s="2">
        <v>2102.6</v>
      </c>
      <c r="G58" s="4">
        <v>2101.6329999999998</v>
      </c>
      <c r="H58" s="6">
        <f t="shared" si="0"/>
        <v>0.96700000000009823</v>
      </c>
      <c r="I58" s="6">
        <f t="shared" si="1"/>
        <v>2102.1165000000001</v>
      </c>
    </row>
    <row r="59" spans="1:9" ht="17">
      <c r="A59" s="1" t="s">
        <v>30</v>
      </c>
      <c r="B59" s="2">
        <v>1</v>
      </c>
      <c r="C59" s="1" t="s">
        <v>10</v>
      </c>
      <c r="D59" s="1" t="s">
        <v>11</v>
      </c>
      <c r="E59" s="1" t="s">
        <v>12</v>
      </c>
      <c r="F59" s="2">
        <v>43.85</v>
      </c>
      <c r="G59" s="4">
        <v>43.317</v>
      </c>
      <c r="H59" s="6">
        <f t="shared" si="0"/>
        <v>0.53300000000000125</v>
      </c>
      <c r="I59" s="6">
        <f t="shared" si="1"/>
        <v>43.583500000000001</v>
      </c>
    </row>
    <row r="60" spans="1:9" ht="17">
      <c r="A60" s="1" t="s">
        <v>30</v>
      </c>
      <c r="B60" s="2">
        <v>2</v>
      </c>
      <c r="C60" s="1" t="s">
        <v>13</v>
      </c>
      <c r="D60" s="1" t="s">
        <v>11</v>
      </c>
      <c r="E60" s="1" t="s">
        <v>12</v>
      </c>
      <c r="F60" s="2">
        <v>459.65</v>
      </c>
      <c r="G60" s="4">
        <v>459.21699999999998</v>
      </c>
      <c r="H60" s="6">
        <f t="shared" si="0"/>
        <v>0.43299999999999272</v>
      </c>
      <c r="I60" s="6">
        <f t="shared" si="1"/>
        <v>459.43349999999998</v>
      </c>
    </row>
    <row r="61" spans="1:9" ht="17">
      <c r="A61" s="1" t="s">
        <v>30</v>
      </c>
      <c r="B61" s="2">
        <v>3</v>
      </c>
      <c r="C61" s="1" t="s">
        <v>15</v>
      </c>
      <c r="D61" s="1" t="s">
        <v>11</v>
      </c>
      <c r="E61" s="1" t="s">
        <v>12</v>
      </c>
      <c r="F61" s="2">
        <v>866.8</v>
      </c>
      <c r="G61" s="4">
        <v>866.33299999999997</v>
      </c>
      <c r="H61" s="6">
        <f t="shared" si="0"/>
        <v>0.46699999999998454</v>
      </c>
      <c r="I61" s="6">
        <f t="shared" si="1"/>
        <v>866.56649999999991</v>
      </c>
    </row>
    <row r="62" spans="1:9" ht="17">
      <c r="A62" s="1" t="s">
        <v>30</v>
      </c>
      <c r="B62" s="2">
        <v>4</v>
      </c>
      <c r="C62" s="1" t="s">
        <v>14</v>
      </c>
      <c r="D62" s="1" t="s">
        <v>11</v>
      </c>
      <c r="E62" s="1" t="s">
        <v>12</v>
      </c>
      <c r="F62" s="2">
        <v>1271.067</v>
      </c>
      <c r="G62" s="4">
        <v>1270.634</v>
      </c>
      <c r="H62" s="6">
        <f t="shared" si="0"/>
        <v>0.43299999999999272</v>
      </c>
      <c r="I62" s="6">
        <f t="shared" si="1"/>
        <v>1270.8505</v>
      </c>
    </row>
    <row r="63" spans="1:9" ht="17">
      <c r="A63" s="1" t="s">
        <v>31</v>
      </c>
      <c r="B63" s="2">
        <v>1</v>
      </c>
      <c r="C63" s="1" t="s">
        <v>13</v>
      </c>
      <c r="D63" s="1" t="s">
        <v>11</v>
      </c>
      <c r="E63" s="1" t="s">
        <v>12</v>
      </c>
      <c r="F63" s="2">
        <v>25.733000000000001</v>
      </c>
      <c r="G63" s="4">
        <v>25.417000000000002</v>
      </c>
      <c r="H63" s="6">
        <f t="shared" si="0"/>
        <v>0.31599999999999895</v>
      </c>
      <c r="I63" s="6">
        <f t="shared" si="1"/>
        <v>25.575000000000003</v>
      </c>
    </row>
    <row r="64" spans="1:9" ht="17">
      <c r="A64" s="1" t="s">
        <v>31</v>
      </c>
      <c r="B64" s="2">
        <v>2</v>
      </c>
      <c r="C64" s="1" t="s">
        <v>10</v>
      </c>
      <c r="D64" s="1" t="s">
        <v>11</v>
      </c>
      <c r="E64" s="1" t="s">
        <v>12</v>
      </c>
      <c r="F64" s="2">
        <v>427.2</v>
      </c>
      <c r="G64" s="4">
        <v>426.767</v>
      </c>
      <c r="H64" s="6">
        <f t="shared" si="0"/>
        <v>0.43299999999999272</v>
      </c>
      <c r="I64" s="6">
        <f t="shared" si="1"/>
        <v>426.98349999999999</v>
      </c>
    </row>
    <row r="65" spans="1:9" ht="17">
      <c r="A65" s="1" t="s">
        <v>31</v>
      </c>
      <c r="B65" s="2">
        <v>3</v>
      </c>
      <c r="C65" s="1" t="s">
        <v>14</v>
      </c>
      <c r="D65" s="1" t="s">
        <v>11</v>
      </c>
      <c r="E65" s="1" t="s">
        <v>12</v>
      </c>
      <c r="F65" s="2">
        <v>825.78300000000002</v>
      </c>
      <c r="G65" s="4">
        <v>825.25</v>
      </c>
      <c r="H65" s="6">
        <f t="shared" si="0"/>
        <v>0.53300000000001546</v>
      </c>
      <c r="I65" s="6">
        <f t="shared" si="1"/>
        <v>825.51649999999995</v>
      </c>
    </row>
    <row r="66" spans="1:9" ht="17">
      <c r="A66" s="1" t="s">
        <v>31</v>
      </c>
      <c r="B66" s="2">
        <v>4</v>
      </c>
      <c r="C66" s="1" t="s">
        <v>15</v>
      </c>
      <c r="D66" s="1" t="s">
        <v>11</v>
      </c>
      <c r="E66" s="1" t="s">
        <v>12</v>
      </c>
      <c r="F66" s="2">
        <v>1274.183</v>
      </c>
      <c r="G66" s="4">
        <v>1273.8</v>
      </c>
      <c r="H66" s="6">
        <f t="shared" si="0"/>
        <v>0.3830000000000382</v>
      </c>
      <c r="I66" s="6">
        <f t="shared" si="1"/>
        <v>1273.9915000000001</v>
      </c>
    </row>
    <row r="67" spans="1:9" ht="17">
      <c r="A67" s="1" t="s">
        <v>32</v>
      </c>
      <c r="B67" s="2">
        <v>1</v>
      </c>
      <c r="C67" s="1" t="s">
        <v>10</v>
      </c>
      <c r="D67" s="1" t="s">
        <v>11</v>
      </c>
      <c r="E67" s="1" t="s">
        <v>12</v>
      </c>
      <c r="F67" s="2">
        <v>31.233000000000001</v>
      </c>
      <c r="G67" s="4">
        <v>30.783000000000001</v>
      </c>
      <c r="H67" s="6">
        <f t="shared" si="0"/>
        <v>0.44999999999999929</v>
      </c>
      <c r="I67" s="6">
        <f t="shared" si="1"/>
        <v>31.008000000000003</v>
      </c>
    </row>
    <row r="68" spans="1:9" ht="17">
      <c r="A68" s="1" t="s">
        <v>32</v>
      </c>
      <c r="B68" s="2">
        <v>2</v>
      </c>
      <c r="C68" s="1" t="s">
        <v>13</v>
      </c>
      <c r="D68" s="1" t="s">
        <v>11</v>
      </c>
      <c r="E68" s="1" t="s">
        <v>12</v>
      </c>
      <c r="F68" s="2">
        <v>524.35</v>
      </c>
      <c r="G68" s="4">
        <v>523.81700000000001</v>
      </c>
      <c r="H68" s="6">
        <f t="shared" si="0"/>
        <v>0.53300000000001546</v>
      </c>
      <c r="I68" s="6">
        <f t="shared" si="1"/>
        <v>524.08349999999996</v>
      </c>
    </row>
    <row r="69" spans="1:9" ht="17">
      <c r="A69" s="1" t="s">
        <v>32</v>
      </c>
      <c r="B69" s="2">
        <v>3</v>
      </c>
      <c r="C69" s="1" t="s">
        <v>14</v>
      </c>
      <c r="D69" s="1" t="s">
        <v>11</v>
      </c>
      <c r="E69" s="1" t="s">
        <v>12</v>
      </c>
      <c r="F69" s="2">
        <v>988.31700000000001</v>
      </c>
      <c r="G69" s="4">
        <v>987.75</v>
      </c>
      <c r="H69" s="6">
        <f t="shared" ref="H69:H126" si="2">F69-G69</f>
        <v>0.56700000000000728</v>
      </c>
      <c r="I69" s="6">
        <f t="shared" ref="I69:I126" si="3">AVERAGE(F69:G69)</f>
        <v>988.0335</v>
      </c>
    </row>
    <row r="70" spans="1:9" ht="17">
      <c r="A70" s="1" t="s">
        <v>32</v>
      </c>
      <c r="B70" s="2">
        <v>4</v>
      </c>
      <c r="C70" s="1" t="s">
        <v>15</v>
      </c>
      <c r="D70" s="1" t="s">
        <v>11</v>
      </c>
      <c r="E70" s="1" t="s">
        <v>12</v>
      </c>
      <c r="F70" s="2">
        <v>1404.2170000000001</v>
      </c>
      <c r="G70" s="4">
        <v>1403.6669999999999</v>
      </c>
      <c r="H70" s="6">
        <f t="shared" si="2"/>
        <v>0.5500000000001819</v>
      </c>
      <c r="I70" s="6">
        <f t="shared" si="3"/>
        <v>1403.942</v>
      </c>
    </row>
    <row r="71" spans="1:9" ht="17">
      <c r="A71" s="1" t="s">
        <v>33</v>
      </c>
      <c r="B71" s="2">
        <v>1</v>
      </c>
      <c r="C71" s="1" t="s">
        <v>13</v>
      </c>
      <c r="D71" s="1" t="s">
        <v>11</v>
      </c>
      <c r="E71" s="1" t="s">
        <v>12</v>
      </c>
      <c r="F71" s="2">
        <v>14.8</v>
      </c>
      <c r="G71" s="4">
        <v>14.367000000000001</v>
      </c>
      <c r="H71" s="6">
        <f t="shared" si="2"/>
        <v>0.43299999999999983</v>
      </c>
      <c r="I71" s="6">
        <f t="shared" si="3"/>
        <v>14.583500000000001</v>
      </c>
    </row>
    <row r="72" spans="1:9" ht="17">
      <c r="A72" s="1" t="s">
        <v>33</v>
      </c>
      <c r="B72" s="2">
        <v>2</v>
      </c>
      <c r="C72" s="1" t="s">
        <v>10</v>
      </c>
      <c r="D72" s="1" t="s">
        <v>11</v>
      </c>
      <c r="E72" s="1" t="s">
        <v>12</v>
      </c>
      <c r="F72" s="2">
        <v>421.2</v>
      </c>
      <c r="G72" s="4">
        <v>420.65</v>
      </c>
      <c r="H72" s="6">
        <f t="shared" si="2"/>
        <v>0.55000000000001137</v>
      </c>
      <c r="I72" s="6">
        <f t="shared" si="3"/>
        <v>420.92499999999995</v>
      </c>
    </row>
    <row r="73" spans="1:9" ht="17">
      <c r="A73" s="1" t="s">
        <v>33</v>
      </c>
      <c r="B73" s="2">
        <v>3</v>
      </c>
      <c r="C73" s="1" t="s">
        <v>15</v>
      </c>
      <c r="D73" s="1" t="s">
        <v>11</v>
      </c>
      <c r="E73" s="1" t="s">
        <v>12</v>
      </c>
      <c r="F73" s="2">
        <v>824.98299999999995</v>
      </c>
      <c r="G73" s="4">
        <v>824.46699999999998</v>
      </c>
      <c r="H73" s="6">
        <f t="shared" si="2"/>
        <v>0.51599999999996271</v>
      </c>
      <c r="I73" s="6">
        <f t="shared" si="3"/>
        <v>824.72499999999991</v>
      </c>
    </row>
    <row r="74" spans="1:9" ht="17">
      <c r="A74" s="1" t="s">
        <v>33</v>
      </c>
      <c r="B74" s="2">
        <v>4</v>
      </c>
      <c r="C74" s="1" t="s">
        <v>14</v>
      </c>
      <c r="D74" s="1" t="s">
        <v>11</v>
      </c>
      <c r="E74" s="1" t="s">
        <v>12</v>
      </c>
      <c r="F74" s="2">
        <v>1250.8330000000001</v>
      </c>
      <c r="G74" s="4">
        <v>1250.367</v>
      </c>
      <c r="H74" s="6">
        <f t="shared" si="2"/>
        <v>0.46600000000012187</v>
      </c>
      <c r="I74" s="6">
        <f t="shared" si="3"/>
        <v>1250.5999999999999</v>
      </c>
    </row>
    <row r="75" spans="1:9" ht="17">
      <c r="A75" s="1" t="s">
        <v>34</v>
      </c>
      <c r="B75" s="2">
        <v>1</v>
      </c>
      <c r="C75" s="1" t="s">
        <v>10</v>
      </c>
      <c r="D75" s="1" t="s">
        <v>11</v>
      </c>
      <c r="E75" s="1" t="s">
        <v>12</v>
      </c>
      <c r="F75" s="2">
        <v>4.9329999999999998</v>
      </c>
      <c r="G75" s="4">
        <v>4.5</v>
      </c>
      <c r="H75" s="6">
        <f t="shared" si="2"/>
        <v>0.43299999999999983</v>
      </c>
      <c r="I75" s="6">
        <f t="shared" si="3"/>
        <v>4.7164999999999999</v>
      </c>
    </row>
    <row r="76" spans="1:9" ht="17">
      <c r="A76" s="1" t="s">
        <v>34</v>
      </c>
      <c r="B76" s="2">
        <v>2</v>
      </c>
      <c r="C76" s="1" t="s">
        <v>13</v>
      </c>
      <c r="D76" s="1" t="s">
        <v>11</v>
      </c>
      <c r="E76" s="1" t="s">
        <v>12</v>
      </c>
      <c r="F76" s="2">
        <v>501.63299999999998</v>
      </c>
      <c r="G76" s="4">
        <v>501.16699999999997</v>
      </c>
      <c r="H76" s="6">
        <f t="shared" si="2"/>
        <v>0.46600000000000819</v>
      </c>
      <c r="I76" s="6">
        <f t="shared" si="3"/>
        <v>501.4</v>
      </c>
    </row>
    <row r="77" spans="1:9" ht="17">
      <c r="A77" s="1" t="s">
        <v>34</v>
      </c>
      <c r="B77" s="2">
        <v>3</v>
      </c>
      <c r="C77" s="1" t="s">
        <v>14</v>
      </c>
      <c r="D77" s="1" t="s">
        <v>11</v>
      </c>
      <c r="E77" s="1" t="s">
        <v>12</v>
      </c>
      <c r="F77" s="2">
        <v>936.65</v>
      </c>
      <c r="G77" s="4">
        <v>936.21699999999998</v>
      </c>
      <c r="H77" s="6">
        <f t="shared" si="2"/>
        <v>0.43299999999999272</v>
      </c>
      <c r="I77" s="6">
        <f t="shared" si="3"/>
        <v>936.43349999999998</v>
      </c>
    </row>
    <row r="78" spans="1:9" ht="17">
      <c r="A78" s="1" t="s">
        <v>34</v>
      </c>
      <c r="B78" s="2">
        <v>4</v>
      </c>
      <c r="C78" s="1" t="s">
        <v>15</v>
      </c>
      <c r="D78" s="1" t="s">
        <v>11</v>
      </c>
      <c r="E78" s="1" t="s">
        <v>12</v>
      </c>
      <c r="F78" s="2">
        <v>1350.45</v>
      </c>
      <c r="G78" s="4">
        <v>1349.9670000000001</v>
      </c>
      <c r="H78" s="6">
        <f t="shared" si="2"/>
        <v>0.48299999999994725</v>
      </c>
      <c r="I78" s="6">
        <f t="shared" si="3"/>
        <v>1350.2085000000002</v>
      </c>
    </row>
    <row r="79" spans="1:9" ht="17">
      <c r="A79" s="1" t="s">
        <v>35</v>
      </c>
      <c r="B79" s="2">
        <v>1</v>
      </c>
      <c r="C79" s="1" t="s">
        <v>13</v>
      </c>
      <c r="D79" s="1" t="s">
        <v>11</v>
      </c>
      <c r="E79" s="1" t="s">
        <v>12</v>
      </c>
      <c r="F79" s="2">
        <v>39.982999999999997</v>
      </c>
      <c r="G79" s="4">
        <v>39.5</v>
      </c>
      <c r="H79" s="6">
        <f t="shared" si="2"/>
        <v>0.48299999999999699</v>
      </c>
      <c r="I79" s="6">
        <f t="shared" si="3"/>
        <v>39.741500000000002</v>
      </c>
    </row>
    <row r="80" spans="1:9" ht="17">
      <c r="A80" s="1" t="s">
        <v>35</v>
      </c>
      <c r="B80" s="2">
        <v>2</v>
      </c>
      <c r="C80" s="1" t="s">
        <v>10</v>
      </c>
      <c r="D80" s="1" t="s">
        <v>11</v>
      </c>
      <c r="E80" s="1" t="s">
        <v>12</v>
      </c>
      <c r="F80" s="2">
        <v>480.88299999999998</v>
      </c>
      <c r="G80" s="4">
        <v>481</v>
      </c>
      <c r="H80" s="6">
        <f t="shared" si="2"/>
        <v>-0.11700000000001864</v>
      </c>
      <c r="I80" s="6">
        <f t="shared" si="3"/>
        <v>480.94150000000002</v>
      </c>
    </row>
    <row r="81" spans="1:9" ht="17">
      <c r="A81" s="1" t="s">
        <v>35</v>
      </c>
      <c r="B81" s="2">
        <v>3</v>
      </c>
      <c r="C81" s="1" t="s">
        <v>15</v>
      </c>
      <c r="D81" s="1" t="s">
        <v>11</v>
      </c>
      <c r="E81" s="1" t="s">
        <v>12</v>
      </c>
      <c r="F81" s="2">
        <v>1010.0170000000001</v>
      </c>
      <c r="G81" s="4">
        <v>1009.5170000000001</v>
      </c>
      <c r="H81" s="6">
        <f t="shared" si="2"/>
        <v>0.5</v>
      </c>
      <c r="I81" s="6">
        <f t="shared" si="3"/>
        <v>1009.7670000000001</v>
      </c>
    </row>
    <row r="82" spans="1:9" ht="17">
      <c r="A82" s="1" t="s">
        <v>35</v>
      </c>
      <c r="B82" s="2">
        <v>4</v>
      </c>
      <c r="C82" s="1" t="s">
        <v>14</v>
      </c>
      <c r="D82" s="1" t="s">
        <v>11</v>
      </c>
      <c r="E82" s="1" t="s">
        <v>12</v>
      </c>
      <c r="F82" s="2">
        <v>1467.45</v>
      </c>
      <c r="G82" s="4">
        <v>1467.0170000000001</v>
      </c>
      <c r="H82" s="6">
        <f t="shared" si="2"/>
        <v>0.43299999999999272</v>
      </c>
      <c r="I82" s="6">
        <f t="shared" si="3"/>
        <v>1467.2335</v>
      </c>
    </row>
    <row r="83" spans="1:9" s="11" customFormat="1" ht="17">
      <c r="A83" s="7" t="s">
        <v>36</v>
      </c>
      <c r="B83" s="8">
        <v>1</v>
      </c>
      <c r="C83" s="7" t="s">
        <v>10</v>
      </c>
      <c r="D83" s="7" t="s">
        <v>37</v>
      </c>
      <c r="E83" s="7" t="s">
        <v>12</v>
      </c>
      <c r="F83" s="8">
        <v>32.299999999999997</v>
      </c>
      <c r="G83" s="12">
        <v>31.917000000000002</v>
      </c>
      <c r="H83" s="10">
        <f t="shared" si="2"/>
        <v>0.38299999999999557</v>
      </c>
      <c r="I83" s="10">
        <f t="shared" si="3"/>
        <v>32.108499999999999</v>
      </c>
    </row>
    <row r="84" spans="1:9" ht="17">
      <c r="A84" s="1" t="s">
        <v>36</v>
      </c>
      <c r="B84" s="2">
        <v>2</v>
      </c>
      <c r="C84" s="1" t="s">
        <v>13</v>
      </c>
      <c r="D84" s="1" t="s">
        <v>11</v>
      </c>
      <c r="E84" s="1" t="s">
        <v>12</v>
      </c>
      <c r="F84" s="2">
        <v>407.4</v>
      </c>
      <c r="G84" s="4">
        <v>406.85</v>
      </c>
      <c r="H84" s="6">
        <f t="shared" si="2"/>
        <v>0.54999999999995453</v>
      </c>
      <c r="I84" s="6">
        <f t="shared" si="3"/>
        <v>407.125</v>
      </c>
    </row>
    <row r="85" spans="1:9" ht="17">
      <c r="A85" s="1" t="s">
        <v>36</v>
      </c>
      <c r="B85" s="2">
        <v>3</v>
      </c>
      <c r="C85" s="1" t="s">
        <v>14</v>
      </c>
      <c r="D85" s="1" t="s">
        <v>11</v>
      </c>
      <c r="E85" s="1" t="s">
        <v>12</v>
      </c>
      <c r="F85" s="2">
        <v>865.9</v>
      </c>
      <c r="G85" s="4">
        <v>865.33299999999997</v>
      </c>
      <c r="H85" s="6">
        <f t="shared" si="2"/>
        <v>0.56700000000000728</v>
      </c>
      <c r="I85" s="6">
        <f t="shared" si="3"/>
        <v>865.61649999999997</v>
      </c>
    </row>
    <row r="86" spans="1:9" ht="17">
      <c r="A86" s="1" t="s">
        <v>36</v>
      </c>
      <c r="B86" s="2">
        <v>4</v>
      </c>
      <c r="C86" s="1" t="s">
        <v>15</v>
      </c>
      <c r="D86" s="1" t="s">
        <v>11</v>
      </c>
      <c r="E86" s="1" t="s">
        <v>12</v>
      </c>
      <c r="F86" s="2">
        <v>1321.9829999999999</v>
      </c>
      <c r="G86" s="4">
        <v>1321.4670000000001</v>
      </c>
      <c r="H86" s="6">
        <f t="shared" si="2"/>
        <v>0.51599999999984902</v>
      </c>
      <c r="I86" s="6">
        <f t="shared" si="3"/>
        <v>1321.7249999999999</v>
      </c>
    </row>
    <row r="87" spans="1:9" ht="17">
      <c r="A87" s="1" t="s">
        <v>38</v>
      </c>
      <c r="B87" s="2">
        <v>1</v>
      </c>
      <c r="C87" s="1" t="s">
        <v>13</v>
      </c>
      <c r="D87" s="1" t="s">
        <v>11</v>
      </c>
      <c r="E87" s="1" t="s">
        <v>12</v>
      </c>
      <c r="F87" s="2">
        <v>12.433</v>
      </c>
      <c r="G87" s="4">
        <v>11.917</v>
      </c>
      <c r="H87" s="6">
        <f t="shared" si="2"/>
        <v>0.51600000000000001</v>
      </c>
      <c r="I87" s="6">
        <f t="shared" si="3"/>
        <v>12.175000000000001</v>
      </c>
    </row>
    <row r="88" spans="1:9" ht="17">
      <c r="A88" s="1" t="s">
        <v>38</v>
      </c>
      <c r="B88" s="2">
        <v>2</v>
      </c>
      <c r="C88" s="1" t="s">
        <v>10</v>
      </c>
      <c r="D88" s="1" t="s">
        <v>11</v>
      </c>
      <c r="E88" s="1" t="s">
        <v>12</v>
      </c>
      <c r="F88" s="2">
        <v>414.483</v>
      </c>
      <c r="G88" s="4">
        <v>413.733</v>
      </c>
      <c r="H88" s="6">
        <f t="shared" si="2"/>
        <v>0.75</v>
      </c>
      <c r="I88" s="6">
        <f t="shared" si="3"/>
        <v>414.108</v>
      </c>
    </row>
    <row r="89" spans="1:9" ht="17">
      <c r="A89" s="1" t="s">
        <v>38</v>
      </c>
      <c r="B89" s="2">
        <v>3</v>
      </c>
      <c r="C89" s="1" t="s">
        <v>15</v>
      </c>
      <c r="D89" s="1" t="s">
        <v>11</v>
      </c>
      <c r="E89" s="1" t="s">
        <v>12</v>
      </c>
      <c r="F89" s="2">
        <v>906.58299999999997</v>
      </c>
      <c r="G89" s="4">
        <v>905.7</v>
      </c>
      <c r="H89" s="6">
        <f t="shared" si="2"/>
        <v>0.88299999999992451</v>
      </c>
      <c r="I89" s="6">
        <f t="shared" si="3"/>
        <v>906.14149999999995</v>
      </c>
    </row>
    <row r="90" spans="1:9" ht="17">
      <c r="A90" s="1" t="s">
        <v>38</v>
      </c>
      <c r="B90" s="2">
        <v>4</v>
      </c>
      <c r="C90" s="1" t="s">
        <v>14</v>
      </c>
      <c r="D90" s="1" t="s">
        <v>11</v>
      </c>
      <c r="E90" s="1" t="s">
        <v>12</v>
      </c>
      <c r="F90" s="2">
        <v>1324.4670000000001</v>
      </c>
      <c r="G90" s="4">
        <v>1323.9829999999999</v>
      </c>
      <c r="H90" s="6">
        <f t="shared" si="2"/>
        <v>0.48400000000015098</v>
      </c>
      <c r="I90" s="6">
        <f t="shared" si="3"/>
        <v>1324.2249999999999</v>
      </c>
    </row>
    <row r="91" spans="1:9" ht="17">
      <c r="A91" s="1" t="s">
        <v>39</v>
      </c>
      <c r="B91" s="2">
        <v>1</v>
      </c>
      <c r="C91" s="1" t="s">
        <v>10</v>
      </c>
      <c r="D91" s="1" t="s">
        <v>11</v>
      </c>
      <c r="E91" s="1" t="s">
        <v>12</v>
      </c>
      <c r="F91" s="2">
        <v>35.533000000000001</v>
      </c>
      <c r="G91" s="4">
        <v>35.067</v>
      </c>
      <c r="H91" s="6">
        <f t="shared" si="2"/>
        <v>0.46600000000000108</v>
      </c>
      <c r="I91" s="6">
        <f t="shared" si="3"/>
        <v>35.299999999999997</v>
      </c>
    </row>
    <row r="92" spans="1:9" ht="17">
      <c r="A92" s="1" t="s">
        <v>39</v>
      </c>
      <c r="B92" s="2">
        <v>2</v>
      </c>
      <c r="C92" s="1" t="s">
        <v>13</v>
      </c>
      <c r="D92" s="1" t="s">
        <v>11</v>
      </c>
      <c r="E92" s="1" t="s">
        <v>12</v>
      </c>
      <c r="F92" s="2">
        <v>457.93299999999999</v>
      </c>
      <c r="G92" s="4">
        <v>457.43299999999999</v>
      </c>
      <c r="H92" s="6">
        <f t="shared" si="2"/>
        <v>0.5</v>
      </c>
      <c r="I92" s="6">
        <f t="shared" si="3"/>
        <v>457.68299999999999</v>
      </c>
    </row>
    <row r="93" spans="1:9" ht="17">
      <c r="A93" s="1" t="s">
        <v>39</v>
      </c>
      <c r="B93" s="2">
        <v>3</v>
      </c>
      <c r="C93" s="1" t="s">
        <v>14</v>
      </c>
      <c r="D93" s="1" t="s">
        <v>11</v>
      </c>
      <c r="E93" s="1" t="s">
        <v>12</v>
      </c>
      <c r="F93" s="2">
        <v>1188</v>
      </c>
      <c r="G93" s="4">
        <v>1187.433</v>
      </c>
      <c r="H93" s="6">
        <f t="shared" si="2"/>
        <v>0.56700000000000728</v>
      </c>
      <c r="I93" s="6">
        <f t="shared" si="3"/>
        <v>1187.7165</v>
      </c>
    </row>
    <row r="94" spans="1:9" ht="17">
      <c r="A94" s="1" t="s">
        <v>39</v>
      </c>
      <c r="B94" s="2">
        <v>4</v>
      </c>
      <c r="C94" s="1" t="s">
        <v>15</v>
      </c>
      <c r="D94" s="1" t="s">
        <v>11</v>
      </c>
      <c r="E94" s="1" t="s">
        <v>12</v>
      </c>
      <c r="F94" s="2">
        <v>1616.2</v>
      </c>
      <c r="G94" s="4">
        <v>1615.7829999999999</v>
      </c>
      <c r="H94" s="6">
        <f t="shared" si="2"/>
        <v>0.4170000000001437</v>
      </c>
      <c r="I94" s="6">
        <f t="shared" si="3"/>
        <v>1615.9915000000001</v>
      </c>
    </row>
    <row r="95" spans="1:9" ht="17">
      <c r="A95" s="1" t="s">
        <v>40</v>
      </c>
      <c r="B95" s="2">
        <v>1</v>
      </c>
      <c r="C95" s="1" t="s">
        <v>13</v>
      </c>
      <c r="D95" s="1" t="s">
        <v>11</v>
      </c>
      <c r="E95" s="1" t="s">
        <v>12</v>
      </c>
      <c r="F95" s="2">
        <v>42.133000000000003</v>
      </c>
      <c r="G95" s="4">
        <v>41.7</v>
      </c>
      <c r="H95" s="6">
        <f t="shared" si="2"/>
        <v>0.43299999999999983</v>
      </c>
      <c r="I95" s="6">
        <f t="shared" si="3"/>
        <v>41.916499999999999</v>
      </c>
    </row>
    <row r="96" spans="1:9" ht="17">
      <c r="A96" s="1" t="s">
        <v>40</v>
      </c>
      <c r="B96" s="2">
        <v>2</v>
      </c>
      <c r="C96" s="1" t="s">
        <v>10</v>
      </c>
      <c r="D96" s="1" t="s">
        <v>11</v>
      </c>
      <c r="E96" s="1" t="s">
        <v>12</v>
      </c>
      <c r="F96" s="2">
        <v>470.6</v>
      </c>
      <c r="G96" s="4">
        <v>469.96699999999998</v>
      </c>
      <c r="H96" s="6">
        <f t="shared" si="2"/>
        <v>0.6330000000000382</v>
      </c>
      <c r="I96" s="6">
        <f t="shared" si="3"/>
        <v>470.2835</v>
      </c>
    </row>
    <row r="97" spans="1:9" ht="17">
      <c r="A97" s="1" t="s">
        <v>40</v>
      </c>
      <c r="B97" s="2">
        <v>3</v>
      </c>
      <c r="C97" s="1" t="s">
        <v>15</v>
      </c>
      <c r="D97" s="1" t="s">
        <v>11</v>
      </c>
      <c r="E97" s="1" t="s">
        <v>12</v>
      </c>
      <c r="F97" s="2">
        <v>876.36699999999996</v>
      </c>
      <c r="G97" s="4">
        <v>875.8</v>
      </c>
      <c r="H97" s="6">
        <f t="shared" si="2"/>
        <v>0.56700000000000728</v>
      </c>
      <c r="I97" s="6">
        <f t="shared" si="3"/>
        <v>876.08349999999996</v>
      </c>
    </row>
    <row r="98" spans="1:9" ht="17">
      <c r="A98" s="1" t="s">
        <v>40</v>
      </c>
      <c r="B98" s="2">
        <v>4</v>
      </c>
      <c r="C98" s="1" t="s">
        <v>14</v>
      </c>
      <c r="D98" s="1" t="s">
        <v>11</v>
      </c>
      <c r="E98" s="1" t="s">
        <v>12</v>
      </c>
      <c r="F98" s="2">
        <v>1350.383</v>
      </c>
      <c r="G98" s="4">
        <v>1349.7170000000001</v>
      </c>
      <c r="H98" s="6">
        <f t="shared" si="2"/>
        <v>0.66599999999993997</v>
      </c>
      <c r="I98" s="6">
        <f t="shared" si="3"/>
        <v>1350.0500000000002</v>
      </c>
    </row>
    <row r="99" spans="1:9" ht="17">
      <c r="A99" s="1" t="s">
        <v>41</v>
      </c>
      <c r="B99" s="2">
        <v>1</v>
      </c>
      <c r="C99" s="1" t="s">
        <v>10</v>
      </c>
      <c r="D99" s="1" t="s">
        <v>11</v>
      </c>
      <c r="E99" s="1" t="s">
        <v>12</v>
      </c>
      <c r="F99" s="2">
        <v>40.450000000000003</v>
      </c>
      <c r="G99" s="4">
        <v>40.082999999999998</v>
      </c>
      <c r="H99" s="6">
        <f t="shared" si="2"/>
        <v>0.36700000000000443</v>
      </c>
      <c r="I99" s="6">
        <f t="shared" si="3"/>
        <v>40.266500000000001</v>
      </c>
    </row>
    <row r="100" spans="1:9" ht="17">
      <c r="A100" s="1" t="s">
        <v>41</v>
      </c>
      <c r="B100" s="2">
        <v>2</v>
      </c>
      <c r="C100" s="1" t="s">
        <v>13</v>
      </c>
      <c r="D100" s="1" t="s">
        <v>11</v>
      </c>
      <c r="E100" s="1" t="s">
        <v>12</v>
      </c>
      <c r="F100" s="2">
        <v>634.78300000000002</v>
      </c>
      <c r="G100" s="4">
        <v>634.25</v>
      </c>
      <c r="H100" s="6">
        <f t="shared" si="2"/>
        <v>0.53300000000001546</v>
      </c>
      <c r="I100" s="6">
        <f t="shared" si="3"/>
        <v>634.51649999999995</v>
      </c>
    </row>
    <row r="101" spans="1:9" ht="17">
      <c r="A101" s="1" t="s">
        <v>41</v>
      </c>
      <c r="B101" s="2">
        <v>3</v>
      </c>
      <c r="C101" s="1" t="s">
        <v>15</v>
      </c>
      <c r="D101" s="1" t="s">
        <v>11</v>
      </c>
      <c r="E101" s="1" t="s">
        <v>12</v>
      </c>
      <c r="F101" s="2">
        <v>1066.317</v>
      </c>
      <c r="G101" s="4">
        <v>1065.933</v>
      </c>
      <c r="H101" s="6">
        <f t="shared" si="2"/>
        <v>0.38400000000001455</v>
      </c>
      <c r="I101" s="6">
        <f t="shared" si="3"/>
        <v>1066.125</v>
      </c>
    </row>
    <row r="102" spans="1:9" ht="17">
      <c r="A102" s="1" t="s">
        <v>41</v>
      </c>
      <c r="B102" s="2">
        <v>4</v>
      </c>
      <c r="C102" s="1" t="s">
        <v>14</v>
      </c>
      <c r="D102" s="1" t="s">
        <v>11</v>
      </c>
      <c r="E102" s="1" t="s">
        <v>12</v>
      </c>
      <c r="F102" s="2">
        <v>1613.383</v>
      </c>
      <c r="G102" s="4">
        <v>1612.9</v>
      </c>
      <c r="H102" s="6">
        <f t="shared" si="2"/>
        <v>0.48299999999994725</v>
      </c>
      <c r="I102" s="6">
        <f t="shared" si="3"/>
        <v>1613.1415000000002</v>
      </c>
    </row>
    <row r="103" spans="1:9" ht="17">
      <c r="A103" s="1" t="s">
        <v>42</v>
      </c>
      <c r="B103" s="2">
        <v>1</v>
      </c>
      <c r="C103" s="1" t="s">
        <v>13</v>
      </c>
      <c r="D103" s="1" t="s">
        <v>11</v>
      </c>
      <c r="E103" s="1" t="s">
        <v>12</v>
      </c>
      <c r="F103" s="2">
        <v>26.766999999999999</v>
      </c>
      <c r="G103" s="4">
        <v>26.45</v>
      </c>
      <c r="H103" s="6">
        <f t="shared" si="2"/>
        <v>0.31700000000000017</v>
      </c>
      <c r="I103" s="6">
        <f t="shared" si="3"/>
        <v>26.608499999999999</v>
      </c>
    </row>
    <row r="104" spans="1:9" ht="17">
      <c r="A104" s="1" t="s">
        <v>42</v>
      </c>
      <c r="B104" s="2">
        <v>2</v>
      </c>
      <c r="C104" s="1" t="s">
        <v>10</v>
      </c>
      <c r="D104" s="1" t="s">
        <v>11</v>
      </c>
      <c r="E104" s="1" t="s">
        <v>12</v>
      </c>
      <c r="F104" s="2">
        <v>449.11700000000002</v>
      </c>
      <c r="G104" s="4">
        <v>448.55</v>
      </c>
      <c r="H104" s="6">
        <f t="shared" si="2"/>
        <v>0.56700000000000728</v>
      </c>
      <c r="I104" s="6">
        <f t="shared" si="3"/>
        <v>448.83350000000002</v>
      </c>
    </row>
    <row r="105" spans="1:9" ht="17">
      <c r="A105" s="1" t="s">
        <v>42</v>
      </c>
      <c r="B105" s="2">
        <v>3</v>
      </c>
      <c r="C105" s="1" t="s">
        <v>14</v>
      </c>
      <c r="D105" s="1" t="s">
        <v>11</v>
      </c>
      <c r="E105" s="1" t="s">
        <v>12</v>
      </c>
      <c r="F105" s="2">
        <v>865.01700000000005</v>
      </c>
      <c r="G105" s="4">
        <v>864.5</v>
      </c>
      <c r="H105" s="6">
        <f t="shared" si="2"/>
        <v>0.51700000000005275</v>
      </c>
      <c r="I105" s="6">
        <f t="shared" si="3"/>
        <v>864.75850000000003</v>
      </c>
    </row>
    <row r="106" spans="1:9" ht="17">
      <c r="A106" s="1" t="s">
        <v>42</v>
      </c>
      <c r="B106" s="2">
        <v>4</v>
      </c>
      <c r="C106" s="1" t="s">
        <v>15</v>
      </c>
      <c r="D106" s="1" t="s">
        <v>11</v>
      </c>
      <c r="E106" s="1" t="s">
        <v>12</v>
      </c>
      <c r="F106" s="2">
        <v>1257.8330000000001</v>
      </c>
      <c r="G106" s="4">
        <v>1257.183</v>
      </c>
      <c r="H106" s="6">
        <f t="shared" si="2"/>
        <v>0.65000000000009095</v>
      </c>
      <c r="I106" s="6">
        <f t="shared" si="3"/>
        <v>1257.508</v>
      </c>
    </row>
    <row r="107" spans="1:9" ht="17">
      <c r="A107" s="1" t="s">
        <v>43</v>
      </c>
      <c r="B107" s="2">
        <v>1</v>
      </c>
      <c r="C107" s="1" t="s">
        <v>10</v>
      </c>
      <c r="D107" s="1" t="s">
        <v>11</v>
      </c>
      <c r="E107" s="1" t="s">
        <v>12</v>
      </c>
      <c r="F107" s="2">
        <v>46.65</v>
      </c>
      <c r="G107" s="4">
        <v>46.15</v>
      </c>
      <c r="H107" s="6">
        <f t="shared" si="2"/>
        <v>0.5</v>
      </c>
      <c r="I107" s="6">
        <f t="shared" si="3"/>
        <v>46.4</v>
      </c>
    </row>
    <row r="108" spans="1:9" ht="17">
      <c r="A108" s="1" t="s">
        <v>43</v>
      </c>
      <c r="B108" s="2">
        <v>2</v>
      </c>
      <c r="C108" s="1" t="s">
        <v>13</v>
      </c>
      <c r="D108" s="1" t="s">
        <v>11</v>
      </c>
      <c r="E108" s="1" t="s">
        <v>12</v>
      </c>
      <c r="F108" s="2">
        <v>699.63300000000004</v>
      </c>
      <c r="G108" s="4">
        <v>699.16700000000003</v>
      </c>
      <c r="H108" s="6">
        <f t="shared" si="2"/>
        <v>0.46600000000000819</v>
      </c>
      <c r="I108" s="6">
        <f t="shared" si="3"/>
        <v>699.40000000000009</v>
      </c>
    </row>
    <row r="109" spans="1:9" ht="17">
      <c r="A109" s="1" t="s">
        <v>43</v>
      </c>
      <c r="B109" s="2">
        <v>3</v>
      </c>
      <c r="C109" s="1" t="s">
        <v>14</v>
      </c>
      <c r="D109" s="1" t="s">
        <v>11</v>
      </c>
      <c r="E109" s="1" t="s">
        <v>12</v>
      </c>
      <c r="F109" s="2">
        <v>1224.2329999999999</v>
      </c>
      <c r="G109" s="4">
        <v>1223.617</v>
      </c>
      <c r="H109" s="6">
        <f t="shared" si="2"/>
        <v>0.61599999999998545</v>
      </c>
      <c r="I109" s="6">
        <f t="shared" si="3"/>
        <v>1223.925</v>
      </c>
    </row>
    <row r="110" spans="1:9" ht="17">
      <c r="A110" s="1" t="s">
        <v>43</v>
      </c>
      <c r="B110" s="2">
        <v>4</v>
      </c>
      <c r="C110" s="1" t="s">
        <v>15</v>
      </c>
      <c r="D110" s="1" t="s">
        <v>11</v>
      </c>
      <c r="E110" s="1" t="s">
        <v>12</v>
      </c>
      <c r="F110" s="2">
        <v>1904.2670000000001</v>
      </c>
      <c r="G110" s="4">
        <v>1903.6669999999999</v>
      </c>
      <c r="H110" s="6">
        <f t="shared" si="2"/>
        <v>0.60000000000013642</v>
      </c>
      <c r="I110" s="6">
        <f t="shared" si="3"/>
        <v>1903.9670000000001</v>
      </c>
    </row>
    <row r="111" spans="1:9" ht="17">
      <c r="A111" s="1" t="s">
        <v>44</v>
      </c>
      <c r="B111" s="2">
        <v>1</v>
      </c>
      <c r="C111" s="1" t="s">
        <v>13</v>
      </c>
      <c r="D111" s="1" t="s">
        <v>11</v>
      </c>
      <c r="E111" s="1" t="s">
        <v>12</v>
      </c>
      <c r="F111" s="2">
        <v>385.08300000000003</v>
      </c>
      <c r="G111" s="4">
        <v>384.61700000000002</v>
      </c>
      <c r="H111" s="6">
        <f t="shared" si="2"/>
        <v>0.46600000000000819</v>
      </c>
      <c r="I111" s="6">
        <f t="shared" si="3"/>
        <v>384.85</v>
      </c>
    </row>
    <row r="112" spans="1:9" ht="17">
      <c r="A112" s="1" t="s">
        <v>44</v>
      </c>
      <c r="B112" s="2">
        <v>2</v>
      </c>
      <c r="C112" s="1" t="s">
        <v>10</v>
      </c>
      <c r="D112" s="1" t="s">
        <v>11</v>
      </c>
      <c r="E112" s="1" t="s">
        <v>12</v>
      </c>
      <c r="F112" s="2">
        <v>804.86699999999996</v>
      </c>
      <c r="G112" s="4">
        <v>804.5</v>
      </c>
      <c r="H112" s="6">
        <f t="shared" si="2"/>
        <v>0.3669999999999618</v>
      </c>
      <c r="I112" s="6">
        <f t="shared" si="3"/>
        <v>804.68349999999998</v>
      </c>
    </row>
    <row r="113" spans="1:9" ht="17">
      <c r="A113" s="1" t="s">
        <v>44</v>
      </c>
      <c r="B113" s="2">
        <v>3</v>
      </c>
      <c r="C113" s="1" t="s">
        <v>15</v>
      </c>
      <c r="D113" s="1" t="s">
        <v>11</v>
      </c>
      <c r="E113" s="1" t="s">
        <v>12</v>
      </c>
      <c r="F113" s="2">
        <v>1224.8499999999999</v>
      </c>
      <c r="G113" s="4">
        <v>1224.4000000000001</v>
      </c>
      <c r="H113" s="6">
        <f t="shared" si="2"/>
        <v>0.4499999999998181</v>
      </c>
      <c r="I113" s="6">
        <f t="shared" si="3"/>
        <v>1224.625</v>
      </c>
    </row>
    <row r="114" spans="1:9" ht="17">
      <c r="A114" s="1" t="s">
        <v>44</v>
      </c>
      <c r="B114" s="2">
        <v>4</v>
      </c>
      <c r="C114" s="1" t="s">
        <v>14</v>
      </c>
      <c r="D114" s="1" t="s">
        <v>11</v>
      </c>
      <c r="E114" s="1" t="s">
        <v>12</v>
      </c>
      <c r="F114" s="2">
        <v>1653.05</v>
      </c>
      <c r="G114" s="4">
        <v>1652.6</v>
      </c>
      <c r="H114" s="6">
        <f t="shared" si="2"/>
        <v>0.45000000000004547</v>
      </c>
      <c r="I114" s="6">
        <f t="shared" si="3"/>
        <v>1652.8249999999998</v>
      </c>
    </row>
    <row r="115" spans="1:9" ht="17">
      <c r="A115" s="1" t="s">
        <v>45</v>
      </c>
      <c r="B115" s="2">
        <v>1</v>
      </c>
      <c r="C115" s="1" t="s">
        <v>10</v>
      </c>
      <c r="D115" s="1" t="s">
        <v>11</v>
      </c>
      <c r="E115" s="1" t="s">
        <v>12</v>
      </c>
      <c r="F115" s="2">
        <v>110.917</v>
      </c>
      <c r="G115" s="4">
        <v>110.417</v>
      </c>
      <c r="H115" s="6">
        <f t="shared" si="2"/>
        <v>0.5</v>
      </c>
      <c r="I115" s="6">
        <f t="shared" si="3"/>
        <v>110.667</v>
      </c>
    </row>
    <row r="116" spans="1:9" ht="17">
      <c r="A116" s="1" t="s">
        <v>45</v>
      </c>
      <c r="B116" s="2">
        <v>2</v>
      </c>
      <c r="C116" s="1" t="s">
        <v>13</v>
      </c>
      <c r="D116" s="1" t="s">
        <v>11</v>
      </c>
      <c r="E116" s="1" t="s">
        <v>12</v>
      </c>
      <c r="F116" s="2">
        <v>708.15</v>
      </c>
      <c r="G116" s="4">
        <v>707.55</v>
      </c>
      <c r="H116" s="6">
        <f t="shared" si="2"/>
        <v>0.60000000000002274</v>
      </c>
      <c r="I116" s="6">
        <f t="shared" si="3"/>
        <v>707.84999999999991</v>
      </c>
    </row>
    <row r="117" spans="1:9" ht="17">
      <c r="A117" s="1" t="s">
        <v>45</v>
      </c>
      <c r="B117" s="2">
        <v>3</v>
      </c>
      <c r="C117" s="1" t="s">
        <v>14</v>
      </c>
      <c r="D117" s="1" t="s">
        <v>11</v>
      </c>
      <c r="E117" s="1" t="s">
        <v>12</v>
      </c>
      <c r="F117" s="2">
        <v>1121.3330000000001</v>
      </c>
      <c r="G117" s="4">
        <v>1119.817</v>
      </c>
      <c r="H117" s="6">
        <f t="shared" si="2"/>
        <v>1.5160000000000764</v>
      </c>
      <c r="I117" s="6">
        <f t="shared" si="3"/>
        <v>1120.575</v>
      </c>
    </row>
    <row r="118" spans="1:9" ht="17">
      <c r="A118" s="1" t="s">
        <v>45</v>
      </c>
      <c r="B118" s="2">
        <v>4</v>
      </c>
      <c r="C118" s="1" t="s">
        <v>15</v>
      </c>
      <c r="D118" s="1" t="s">
        <v>11</v>
      </c>
      <c r="E118" s="1" t="s">
        <v>12</v>
      </c>
      <c r="F118" s="2">
        <v>1638.0170000000001</v>
      </c>
      <c r="G118" s="4">
        <v>1637.5170000000001</v>
      </c>
      <c r="H118" s="6">
        <f t="shared" si="2"/>
        <v>0.5</v>
      </c>
      <c r="I118" s="6">
        <f t="shared" si="3"/>
        <v>1637.7670000000001</v>
      </c>
    </row>
    <row r="119" spans="1:9" ht="17">
      <c r="A119" s="1" t="s">
        <v>46</v>
      </c>
      <c r="B119" s="2">
        <v>1</v>
      </c>
      <c r="C119" s="1" t="s">
        <v>13</v>
      </c>
      <c r="D119" s="1" t="s">
        <v>11</v>
      </c>
      <c r="E119" s="1" t="s">
        <v>12</v>
      </c>
      <c r="F119" s="2">
        <v>39.5</v>
      </c>
      <c r="G119" s="4">
        <v>38.950000000000003</v>
      </c>
      <c r="H119" s="6">
        <f t="shared" si="2"/>
        <v>0.54999999999999716</v>
      </c>
      <c r="I119" s="6">
        <f t="shared" si="3"/>
        <v>39.225000000000001</v>
      </c>
    </row>
    <row r="120" spans="1:9" ht="17">
      <c r="A120" s="1" t="s">
        <v>46</v>
      </c>
      <c r="B120" s="2">
        <v>2</v>
      </c>
      <c r="C120" s="1" t="s">
        <v>10</v>
      </c>
      <c r="D120" s="1" t="s">
        <v>11</v>
      </c>
      <c r="E120" s="1" t="s">
        <v>12</v>
      </c>
      <c r="F120" s="2">
        <v>437.83300000000003</v>
      </c>
      <c r="G120" s="4">
        <v>436.95</v>
      </c>
      <c r="H120" s="6">
        <f t="shared" si="2"/>
        <v>0.8830000000000382</v>
      </c>
      <c r="I120" s="6">
        <f t="shared" si="3"/>
        <v>437.39150000000001</v>
      </c>
    </row>
    <row r="121" spans="1:9" ht="17">
      <c r="A121" s="1" t="s">
        <v>46</v>
      </c>
      <c r="B121" s="2">
        <v>3</v>
      </c>
      <c r="C121" s="1" t="s">
        <v>15</v>
      </c>
      <c r="D121" s="1" t="s">
        <v>11</v>
      </c>
      <c r="E121" s="1" t="s">
        <v>12</v>
      </c>
      <c r="F121" s="2">
        <v>897.8</v>
      </c>
      <c r="G121" s="4">
        <v>897.28300000000002</v>
      </c>
      <c r="H121" s="6">
        <f t="shared" si="2"/>
        <v>0.51699999999993906</v>
      </c>
      <c r="I121" s="6">
        <f t="shared" si="3"/>
        <v>897.54150000000004</v>
      </c>
    </row>
    <row r="122" spans="1:9" ht="17">
      <c r="A122" s="1" t="s">
        <v>46</v>
      </c>
      <c r="B122" s="2">
        <v>4</v>
      </c>
      <c r="C122" s="1" t="s">
        <v>14</v>
      </c>
      <c r="D122" s="1" t="s">
        <v>11</v>
      </c>
      <c r="E122" s="1" t="s">
        <v>12</v>
      </c>
      <c r="F122" s="2">
        <v>1344.05</v>
      </c>
      <c r="G122" s="4">
        <v>1343.683</v>
      </c>
      <c r="H122" s="6">
        <f t="shared" si="2"/>
        <v>0.3669999999999618</v>
      </c>
      <c r="I122" s="6">
        <f t="shared" si="3"/>
        <v>1343.8665000000001</v>
      </c>
    </row>
    <row r="123" spans="1:9" ht="17">
      <c r="A123" s="1" t="s">
        <v>47</v>
      </c>
      <c r="B123" s="2">
        <v>1</v>
      </c>
      <c r="C123" s="1" t="s">
        <v>10</v>
      </c>
      <c r="D123" s="1" t="s">
        <v>11</v>
      </c>
      <c r="E123" s="1" t="s">
        <v>12</v>
      </c>
      <c r="F123" s="2">
        <v>43.633000000000003</v>
      </c>
      <c r="G123" s="4">
        <v>43.216999999999999</v>
      </c>
      <c r="H123" s="6">
        <f t="shared" si="2"/>
        <v>0.41600000000000392</v>
      </c>
      <c r="I123" s="6">
        <f t="shared" si="3"/>
        <v>43.424999999999997</v>
      </c>
    </row>
    <row r="124" spans="1:9" ht="17">
      <c r="A124" s="1" t="s">
        <v>47</v>
      </c>
      <c r="B124" s="2">
        <v>2</v>
      </c>
      <c r="C124" s="1" t="s">
        <v>13</v>
      </c>
      <c r="D124" s="1" t="s">
        <v>11</v>
      </c>
      <c r="E124" s="1" t="s">
        <v>12</v>
      </c>
      <c r="F124" s="2">
        <v>472.53300000000002</v>
      </c>
      <c r="G124" s="4">
        <v>471.983</v>
      </c>
      <c r="H124" s="6">
        <f t="shared" si="2"/>
        <v>0.55000000000001137</v>
      </c>
      <c r="I124" s="6">
        <f t="shared" si="3"/>
        <v>472.25800000000004</v>
      </c>
    </row>
    <row r="125" spans="1:9" ht="17">
      <c r="A125" s="1" t="s">
        <v>47</v>
      </c>
      <c r="B125" s="2">
        <v>3</v>
      </c>
      <c r="C125" s="1" t="s">
        <v>14</v>
      </c>
      <c r="D125" s="1" t="s">
        <v>11</v>
      </c>
      <c r="E125" s="1" t="s">
        <v>12</v>
      </c>
      <c r="F125" s="2">
        <v>1138.867</v>
      </c>
      <c r="G125" s="4">
        <v>1138.3340000000001</v>
      </c>
      <c r="H125" s="6">
        <f t="shared" si="2"/>
        <v>0.53299999999990177</v>
      </c>
      <c r="I125" s="6">
        <f t="shared" si="3"/>
        <v>1138.6005</v>
      </c>
    </row>
    <row r="126" spans="1:9" ht="17">
      <c r="A126" s="1" t="s">
        <v>47</v>
      </c>
      <c r="B126" s="2">
        <v>4</v>
      </c>
      <c r="C126" s="1" t="s">
        <v>15</v>
      </c>
      <c r="D126" s="1" t="s">
        <v>11</v>
      </c>
      <c r="E126" s="1" t="s">
        <v>12</v>
      </c>
      <c r="F126" s="2">
        <v>1579.1</v>
      </c>
      <c r="G126" s="4">
        <v>1578.617</v>
      </c>
      <c r="H126" s="6">
        <f t="shared" si="2"/>
        <v>0.48299999999994725</v>
      </c>
      <c r="I126" s="6">
        <f t="shared" si="3"/>
        <v>1578.8584999999998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6"/>
  <sheetViews>
    <sheetView tabSelected="1" workbookViewId="0">
      <selection activeCell="H2" sqref="H2"/>
    </sheetView>
  </sheetViews>
  <sheetFormatPr baseColWidth="10" defaultRowHeight="16"/>
  <cols>
    <col min="4" max="4" width="19.6640625" customWidth="1"/>
    <col min="5" max="5" width="15" customWidth="1"/>
    <col min="6" max="6" width="15.5" customWidth="1"/>
    <col min="7" max="7" width="12.33203125" customWidth="1"/>
    <col min="8" max="8" width="13.5" customWidth="1"/>
    <col min="9" max="9" width="26.6640625" customWidth="1"/>
  </cols>
  <sheetData>
    <row r="1" spans="1:9" ht="18">
      <c r="D1" s="18"/>
      <c r="E1" s="19" t="s">
        <v>0</v>
      </c>
      <c r="F1" s="19" t="s">
        <v>1</v>
      </c>
    </row>
    <row r="2" spans="1:9" ht="18">
      <c r="A2" s="3" t="s">
        <v>2</v>
      </c>
      <c r="B2" s="3" t="s">
        <v>3</v>
      </c>
      <c r="C2" s="3" t="s">
        <v>4</v>
      </c>
      <c r="D2" s="21" t="s">
        <v>5</v>
      </c>
      <c r="E2" s="21" t="s">
        <v>48</v>
      </c>
      <c r="F2" s="21" t="s">
        <v>48</v>
      </c>
      <c r="G2" s="21" t="s">
        <v>49</v>
      </c>
      <c r="H2" s="21" t="s">
        <v>50</v>
      </c>
      <c r="I2" s="15" t="s">
        <v>53</v>
      </c>
    </row>
    <row r="3" spans="1:9" ht="17">
      <c r="A3" s="1" t="s">
        <v>9</v>
      </c>
      <c r="B3" s="2">
        <v>1</v>
      </c>
      <c r="C3" s="1" t="s">
        <v>10</v>
      </c>
      <c r="D3" s="13" t="s">
        <v>11</v>
      </c>
      <c r="I3" s="20">
        <v>3.2549999999999999</v>
      </c>
    </row>
    <row r="4" spans="1:9" ht="17">
      <c r="A4" s="1" t="s">
        <v>9</v>
      </c>
      <c r="B4" s="2">
        <v>2</v>
      </c>
      <c r="C4" s="1" t="s">
        <v>13</v>
      </c>
      <c r="D4" s="13" t="s">
        <v>11</v>
      </c>
      <c r="I4" s="17">
        <v>1.8574999999999999</v>
      </c>
    </row>
    <row r="5" spans="1:9" ht="17">
      <c r="A5" s="1" t="s">
        <v>9</v>
      </c>
      <c r="B5" s="2">
        <v>3</v>
      </c>
      <c r="C5" s="1" t="s">
        <v>14</v>
      </c>
      <c r="D5" s="13" t="s">
        <v>11</v>
      </c>
      <c r="I5" s="17">
        <v>1.8428</v>
      </c>
    </row>
    <row r="6" spans="1:9" ht="17">
      <c r="A6" s="1" t="s">
        <v>9</v>
      </c>
      <c r="B6" s="2">
        <v>4</v>
      </c>
      <c r="C6" s="1" t="s">
        <v>15</v>
      </c>
      <c r="D6" s="13" t="s">
        <v>11</v>
      </c>
      <c r="I6" s="17">
        <v>1.8996</v>
      </c>
    </row>
    <row r="7" spans="1:9" ht="17">
      <c r="A7" s="1" t="s">
        <v>16</v>
      </c>
      <c r="B7" s="2">
        <v>1</v>
      </c>
      <c r="C7" s="1" t="s">
        <v>13</v>
      </c>
      <c r="D7" s="13" t="s">
        <v>11</v>
      </c>
      <c r="I7" s="17">
        <v>2.7079</v>
      </c>
    </row>
    <row r="8" spans="1:9" ht="17">
      <c r="A8" s="1" t="s">
        <v>16</v>
      </c>
      <c r="B8" s="2">
        <v>2</v>
      </c>
      <c r="C8" s="1" t="s">
        <v>10</v>
      </c>
      <c r="D8" s="13" t="s">
        <v>11</v>
      </c>
      <c r="I8" s="17">
        <v>1.8725000000000001</v>
      </c>
    </row>
    <row r="9" spans="1:9" ht="17">
      <c r="A9" s="1" t="s">
        <v>16</v>
      </c>
      <c r="B9" s="2">
        <v>3</v>
      </c>
      <c r="C9" s="1" t="s">
        <v>15</v>
      </c>
      <c r="D9" s="13" t="s">
        <v>11</v>
      </c>
      <c r="I9" s="17">
        <v>2.1366000000000001</v>
      </c>
    </row>
    <row r="10" spans="1:9" ht="17">
      <c r="A10" s="1" t="s">
        <v>16</v>
      </c>
      <c r="B10" s="2">
        <v>4</v>
      </c>
      <c r="C10" s="1" t="s">
        <v>14</v>
      </c>
      <c r="D10" s="13" t="s">
        <v>11</v>
      </c>
      <c r="I10" s="16">
        <v>1.39</v>
      </c>
    </row>
    <row r="11" spans="1:9" ht="17">
      <c r="A11" s="1" t="s">
        <v>17</v>
      </c>
      <c r="B11" s="2">
        <v>1</v>
      </c>
      <c r="C11" s="1" t="s">
        <v>10</v>
      </c>
      <c r="D11" s="13" t="s">
        <v>11</v>
      </c>
      <c r="I11" s="16">
        <v>0.17799999999999999</v>
      </c>
    </row>
    <row r="12" spans="1:9" ht="17">
      <c r="A12" s="1" t="s">
        <v>17</v>
      </c>
      <c r="B12" s="2">
        <v>2</v>
      </c>
      <c r="C12" s="1" t="s">
        <v>13</v>
      </c>
      <c r="D12" s="13" t="s">
        <v>11</v>
      </c>
      <c r="I12" s="17">
        <v>3.3464</v>
      </c>
    </row>
    <row r="13" spans="1:9" ht="17">
      <c r="A13" s="1" t="s">
        <v>17</v>
      </c>
      <c r="B13" s="2">
        <v>3</v>
      </c>
      <c r="C13" s="1" t="s">
        <v>14</v>
      </c>
      <c r="D13" s="13" t="s">
        <v>11</v>
      </c>
      <c r="I13" s="17">
        <v>3.6373000000000002</v>
      </c>
    </row>
    <row r="14" spans="1:9" ht="17">
      <c r="A14" s="1" t="s">
        <v>17</v>
      </c>
      <c r="B14" s="2">
        <v>4</v>
      </c>
      <c r="C14" s="1" t="s">
        <v>15</v>
      </c>
      <c r="D14" s="13" t="s">
        <v>11</v>
      </c>
      <c r="I14" s="17">
        <v>2.3285</v>
      </c>
    </row>
    <row r="15" spans="1:9" ht="17">
      <c r="A15" s="1" t="s">
        <v>18</v>
      </c>
      <c r="B15" s="2">
        <v>1</v>
      </c>
      <c r="C15" s="1" t="s">
        <v>13</v>
      </c>
      <c r="D15" s="13" t="s">
        <v>11</v>
      </c>
      <c r="I15" s="17">
        <v>1.8495999999999999</v>
      </c>
    </row>
    <row r="16" spans="1:9" ht="17">
      <c r="A16" s="1" t="s">
        <v>18</v>
      </c>
      <c r="B16" s="2">
        <v>2</v>
      </c>
      <c r="C16" s="1" t="s">
        <v>10</v>
      </c>
      <c r="D16" s="13" t="s">
        <v>11</v>
      </c>
      <c r="I16" s="17">
        <v>1.5876999999999999</v>
      </c>
    </row>
    <row r="17" spans="1:9" ht="17">
      <c r="A17" s="1" t="s">
        <v>18</v>
      </c>
      <c r="B17" s="2">
        <v>3</v>
      </c>
      <c r="C17" s="1" t="s">
        <v>15</v>
      </c>
      <c r="D17" s="13" t="s">
        <v>11</v>
      </c>
      <c r="I17" s="17">
        <v>3.1684000000000001</v>
      </c>
    </row>
    <row r="18" spans="1:9" ht="17">
      <c r="A18" s="1" t="s">
        <v>18</v>
      </c>
      <c r="B18" s="2">
        <v>4</v>
      </c>
      <c r="C18" s="1" t="s">
        <v>14</v>
      </c>
      <c r="D18" s="13" t="s">
        <v>11</v>
      </c>
      <c r="I18" s="17">
        <v>1.2725</v>
      </c>
    </row>
    <row r="19" spans="1:9" ht="17">
      <c r="A19" s="1" t="s">
        <v>19</v>
      </c>
      <c r="B19" s="2">
        <v>1</v>
      </c>
      <c r="C19" s="1" t="s">
        <v>10</v>
      </c>
      <c r="D19" s="13" t="s">
        <v>11</v>
      </c>
      <c r="I19" s="17">
        <v>1.9228000000000001</v>
      </c>
    </row>
    <row r="20" spans="1:9" ht="17">
      <c r="A20" s="1" t="s">
        <v>19</v>
      </c>
      <c r="B20" s="2">
        <v>2</v>
      </c>
      <c r="C20" s="1" t="s">
        <v>13</v>
      </c>
      <c r="D20" s="13" t="s">
        <v>11</v>
      </c>
      <c r="I20" s="17">
        <v>4.5400999999999998</v>
      </c>
    </row>
    <row r="21" spans="1:9" ht="17">
      <c r="A21" s="1" t="s">
        <v>19</v>
      </c>
      <c r="B21" s="2">
        <v>3</v>
      </c>
      <c r="C21" s="1" t="s">
        <v>15</v>
      </c>
      <c r="D21" s="13" t="s">
        <v>11</v>
      </c>
      <c r="I21" s="17">
        <v>2.0141</v>
      </c>
    </row>
    <row r="22" spans="1:9" ht="17">
      <c r="A22" s="1" t="s">
        <v>19</v>
      </c>
      <c r="B22" s="2">
        <v>4</v>
      </c>
      <c r="C22" s="1" t="s">
        <v>14</v>
      </c>
      <c r="D22" s="13" t="s">
        <v>11</v>
      </c>
      <c r="I22" s="17">
        <v>3.5291000000000001</v>
      </c>
    </row>
    <row r="23" spans="1:9" ht="17">
      <c r="A23" s="7" t="s">
        <v>20</v>
      </c>
      <c r="B23" s="8">
        <v>1</v>
      </c>
      <c r="C23" s="7" t="s">
        <v>13</v>
      </c>
      <c r="D23" s="14" t="s">
        <v>21</v>
      </c>
      <c r="E23">
        <v>125983</v>
      </c>
      <c r="F23">
        <v>125533</v>
      </c>
      <c r="G23">
        <f>E23-F23</f>
        <v>450</v>
      </c>
      <c r="H23">
        <f>AVERAGE(E23,F23)</f>
        <v>125758</v>
      </c>
      <c r="I23" s="17">
        <v>125750.0001</v>
      </c>
    </row>
    <row r="24" spans="1:9" ht="17">
      <c r="A24" s="1" t="s">
        <v>20</v>
      </c>
      <c r="B24" s="2">
        <v>2</v>
      </c>
      <c r="C24" s="1" t="s">
        <v>10</v>
      </c>
      <c r="D24" s="13" t="s">
        <v>11</v>
      </c>
      <c r="I24" s="17">
        <v>2.1737000000000002</v>
      </c>
    </row>
    <row r="25" spans="1:9" ht="17">
      <c r="A25" s="1" t="s">
        <v>20</v>
      </c>
      <c r="B25" s="2">
        <v>3</v>
      </c>
      <c r="C25" s="1" t="s">
        <v>14</v>
      </c>
      <c r="D25" s="13" t="s">
        <v>11</v>
      </c>
      <c r="I25" s="17">
        <v>1.8691</v>
      </c>
    </row>
    <row r="26" spans="1:9" ht="17">
      <c r="A26" s="1" t="s">
        <v>20</v>
      </c>
      <c r="B26" s="2">
        <v>4</v>
      </c>
      <c r="C26" s="1" t="s">
        <v>15</v>
      </c>
      <c r="D26" s="13" t="s">
        <v>11</v>
      </c>
      <c r="I26" s="17">
        <v>3.2856999999999998</v>
      </c>
    </row>
    <row r="27" spans="1:9" ht="17">
      <c r="A27" s="1" t="s">
        <v>22</v>
      </c>
      <c r="B27" s="2">
        <v>1</v>
      </c>
      <c r="C27" s="1" t="s">
        <v>10</v>
      </c>
      <c r="D27" s="13" t="s">
        <v>11</v>
      </c>
      <c r="I27" s="17">
        <v>1.3115000000000001</v>
      </c>
    </row>
    <row r="28" spans="1:9" ht="17">
      <c r="A28" s="1" t="s">
        <v>22</v>
      </c>
      <c r="B28" s="2">
        <v>2</v>
      </c>
      <c r="C28" s="1" t="s">
        <v>13</v>
      </c>
      <c r="D28" s="13" t="s">
        <v>11</v>
      </c>
      <c r="I28" s="16">
        <v>1.782</v>
      </c>
    </row>
    <row r="29" spans="1:9" ht="17">
      <c r="A29" s="1" t="s">
        <v>22</v>
      </c>
      <c r="B29" s="2">
        <v>3</v>
      </c>
      <c r="C29" s="1" t="s">
        <v>14</v>
      </c>
      <c r="D29" s="13" t="s">
        <v>11</v>
      </c>
      <c r="I29" s="17">
        <v>1.9758</v>
      </c>
    </row>
    <row r="30" spans="1:9" ht="17">
      <c r="A30" s="1" t="s">
        <v>22</v>
      </c>
      <c r="B30" s="2">
        <v>4</v>
      </c>
      <c r="C30" s="1" t="s">
        <v>15</v>
      </c>
      <c r="D30" s="13" t="s">
        <v>11</v>
      </c>
      <c r="I30" s="17">
        <v>1.9455</v>
      </c>
    </row>
    <row r="31" spans="1:9" ht="17">
      <c r="A31" s="1" t="s">
        <v>23</v>
      </c>
      <c r="B31" s="2">
        <v>1</v>
      </c>
      <c r="C31" s="1" t="s">
        <v>13</v>
      </c>
      <c r="D31" s="13" t="s">
        <v>11</v>
      </c>
      <c r="I31" s="17">
        <v>3.6581999999999999</v>
      </c>
    </row>
    <row r="32" spans="1:9" ht="17">
      <c r="A32" s="1" t="s">
        <v>23</v>
      </c>
      <c r="B32" s="2">
        <v>2</v>
      </c>
      <c r="C32" s="1" t="s">
        <v>10</v>
      </c>
      <c r="D32" s="13" t="s">
        <v>11</v>
      </c>
      <c r="I32" s="17">
        <v>2.3182</v>
      </c>
    </row>
    <row r="33" spans="1:9" ht="17">
      <c r="A33" s="1" t="s">
        <v>23</v>
      </c>
      <c r="B33" s="2">
        <v>3</v>
      </c>
      <c r="C33" s="1" t="s">
        <v>15</v>
      </c>
      <c r="D33" s="13" t="s">
        <v>11</v>
      </c>
      <c r="I33" s="17">
        <v>1.3634999999999999</v>
      </c>
    </row>
    <row r="34" spans="1:9" ht="17">
      <c r="A34" s="1" t="s">
        <v>23</v>
      </c>
      <c r="B34" s="2">
        <v>4</v>
      </c>
      <c r="C34" s="1" t="s">
        <v>14</v>
      </c>
      <c r="D34" s="13" t="s">
        <v>11</v>
      </c>
      <c r="I34" s="17">
        <v>3.8609</v>
      </c>
    </row>
    <row r="35" spans="1:9" ht="17">
      <c r="A35" s="1" t="s">
        <v>24</v>
      </c>
      <c r="B35" s="2">
        <v>1</v>
      </c>
      <c r="C35" s="1" t="s">
        <v>10</v>
      </c>
      <c r="D35" s="13" t="s">
        <v>11</v>
      </c>
      <c r="I35" s="17">
        <v>5.2774999999999999</v>
      </c>
    </row>
    <row r="36" spans="1:9" ht="17">
      <c r="A36" s="1" t="s">
        <v>24</v>
      </c>
      <c r="B36" s="2">
        <v>2</v>
      </c>
      <c r="C36" s="1" t="s">
        <v>13</v>
      </c>
      <c r="D36" s="13" t="s">
        <v>11</v>
      </c>
      <c r="I36" s="17">
        <v>2.3125</v>
      </c>
    </row>
    <row r="37" spans="1:9" ht="17">
      <c r="A37" s="1" t="s">
        <v>24</v>
      </c>
      <c r="B37" s="2">
        <v>3</v>
      </c>
      <c r="C37" s="1" t="s">
        <v>14</v>
      </c>
      <c r="D37" s="13" t="s">
        <v>11</v>
      </c>
      <c r="I37" s="17">
        <v>1.8335999999999999</v>
      </c>
    </row>
    <row r="38" spans="1:9" ht="17">
      <c r="A38" s="1" t="s">
        <v>24</v>
      </c>
      <c r="B38" s="2">
        <v>4</v>
      </c>
      <c r="C38" s="1" t="s">
        <v>15</v>
      </c>
      <c r="D38" s="13" t="s">
        <v>11</v>
      </c>
      <c r="I38" s="17">
        <v>3.4832000000000001</v>
      </c>
    </row>
    <row r="39" spans="1:9" ht="17">
      <c r="A39" s="1" t="s">
        <v>25</v>
      </c>
      <c r="B39" s="2">
        <v>1</v>
      </c>
      <c r="C39" s="1" t="s">
        <v>13</v>
      </c>
      <c r="D39" s="13" t="s">
        <v>11</v>
      </c>
      <c r="I39" s="17">
        <v>4.0395000000000003</v>
      </c>
    </row>
    <row r="40" spans="1:9" ht="17">
      <c r="A40" s="1" t="s">
        <v>25</v>
      </c>
      <c r="B40" s="2">
        <v>2</v>
      </c>
      <c r="C40" s="1" t="s">
        <v>10</v>
      </c>
      <c r="D40" s="13" t="s">
        <v>11</v>
      </c>
      <c r="I40" s="17">
        <v>1.7122999999999999</v>
      </c>
    </row>
    <row r="41" spans="1:9" ht="17">
      <c r="A41" s="1" t="s">
        <v>25</v>
      </c>
      <c r="B41" s="2">
        <v>3</v>
      </c>
      <c r="C41" s="1" t="s">
        <v>15</v>
      </c>
      <c r="D41" s="13" t="s">
        <v>11</v>
      </c>
      <c r="I41" s="17">
        <v>2.0440999999999998</v>
      </c>
    </row>
    <row r="42" spans="1:9" ht="17">
      <c r="A42" s="1" t="s">
        <v>25</v>
      </c>
      <c r="B42" s="2">
        <v>4</v>
      </c>
      <c r="C42" s="1" t="s">
        <v>14</v>
      </c>
      <c r="D42" s="13" t="s">
        <v>11</v>
      </c>
      <c r="I42" s="17">
        <v>2.0941000000000001</v>
      </c>
    </row>
    <row r="43" spans="1:9" ht="17">
      <c r="A43" s="1" t="s">
        <v>26</v>
      </c>
      <c r="B43" s="2">
        <v>1</v>
      </c>
      <c r="C43" s="1" t="s">
        <v>10</v>
      </c>
      <c r="D43" s="13" t="s">
        <v>11</v>
      </c>
      <c r="I43" s="17">
        <v>1.2255</v>
      </c>
    </row>
    <row r="44" spans="1:9" ht="17">
      <c r="A44" s="1" t="s">
        <v>26</v>
      </c>
      <c r="B44" s="2">
        <v>2</v>
      </c>
      <c r="C44" s="1" t="s">
        <v>13</v>
      </c>
      <c r="D44" s="13" t="s">
        <v>11</v>
      </c>
      <c r="I44" s="17">
        <v>4.1332000000000004</v>
      </c>
    </row>
    <row r="45" spans="1:9" ht="17">
      <c r="A45" s="1" t="s">
        <v>26</v>
      </c>
      <c r="B45" s="2">
        <v>3</v>
      </c>
      <c r="C45" s="1" t="s">
        <v>14</v>
      </c>
      <c r="D45" s="13" t="s">
        <v>11</v>
      </c>
      <c r="I45" s="17">
        <v>1.8514999999999999</v>
      </c>
    </row>
    <row r="46" spans="1:9" ht="17">
      <c r="A46" s="1" t="s">
        <v>26</v>
      </c>
      <c r="B46" s="2">
        <v>4</v>
      </c>
      <c r="C46" s="1" t="s">
        <v>15</v>
      </c>
      <c r="D46" s="13" t="s">
        <v>11</v>
      </c>
      <c r="I46" s="17">
        <v>1.8726</v>
      </c>
    </row>
    <row r="47" spans="1:9" ht="17">
      <c r="A47" s="1" t="s">
        <v>27</v>
      </c>
      <c r="B47" s="2">
        <v>1</v>
      </c>
      <c r="C47" s="1" t="s">
        <v>13</v>
      </c>
      <c r="D47" s="13" t="s">
        <v>11</v>
      </c>
      <c r="I47" s="17">
        <v>3.6011000000000002</v>
      </c>
    </row>
    <row r="48" spans="1:9" ht="17">
      <c r="A48" s="1" t="s">
        <v>27</v>
      </c>
      <c r="B48" s="2">
        <v>2</v>
      </c>
      <c r="C48" s="1" t="s">
        <v>10</v>
      </c>
      <c r="D48" s="13" t="s">
        <v>11</v>
      </c>
      <c r="I48" s="17">
        <v>3.8466</v>
      </c>
    </row>
    <row r="49" spans="1:9" ht="17">
      <c r="A49" s="1" t="s">
        <v>27</v>
      </c>
      <c r="B49" s="2">
        <v>3</v>
      </c>
      <c r="C49" s="1" t="s">
        <v>15</v>
      </c>
      <c r="D49" s="13" t="s">
        <v>11</v>
      </c>
      <c r="I49" s="17">
        <v>1.7037</v>
      </c>
    </row>
    <row r="50" spans="1:9" ht="17">
      <c r="A50" s="1" t="s">
        <v>27</v>
      </c>
      <c r="B50" s="2">
        <v>4</v>
      </c>
      <c r="C50" s="1" t="s">
        <v>14</v>
      </c>
      <c r="D50" s="13" t="s">
        <v>11</v>
      </c>
      <c r="I50" s="16">
        <v>1.8959999999999999</v>
      </c>
    </row>
    <row r="51" spans="1:9" ht="17">
      <c r="A51" s="1" t="s">
        <v>28</v>
      </c>
      <c r="B51" s="2">
        <v>1</v>
      </c>
      <c r="C51" s="1" t="s">
        <v>10</v>
      </c>
      <c r="D51" s="13" t="s">
        <v>11</v>
      </c>
      <c r="I51" s="17">
        <v>2.5722</v>
      </c>
    </row>
    <row r="52" spans="1:9" ht="17">
      <c r="A52" s="1" t="s">
        <v>28</v>
      </c>
      <c r="B52" s="2">
        <v>2</v>
      </c>
      <c r="C52" s="1" t="s">
        <v>13</v>
      </c>
      <c r="D52" s="13" t="s">
        <v>11</v>
      </c>
      <c r="I52" s="16">
        <v>3.4649999999999999</v>
      </c>
    </row>
    <row r="53" spans="1:9" ht="17">
      <c r="A53" s="1" t="s">
        <v>28</v>
      </c>
      <c r="B53" s="2">
        <v>3</v>
      </c>
      <c r="C53" s="1" t="s">
        <v>14</v>
      </c>
      <c r="D53" s="13" t="s">
        <v>11</v>
      </c>
      <c r="I53" s="16">
        <v>2.165</v>
      </c>
    </row>
    <row r="54" spans="1:9" ht="17">
      <c r="A54" s="1" t="s">
        <v>28</v>
      </c>
      <c r="B54" s="2">
        <v>4</v>
      </c>
      <c r="C54" s="1" t="s">
        <v>15</v>
      </c>
      <c r="D54" s="13" t="s">
        <v>11</v>
      </c>
      <c r="I54" s="17">
        <v>3.3816000000000002</v>
      </c>
    </row>
    <row r="55" spans="1:9" ht="17">
      <c r="A55" s="1" t="s">
        <v>29</v>
      </c>
      <c r="B55" s="2">
        <v>1</v>
      </c>
      <c r="C55" s="1" t="s">
        <v>13</v>
      </c>
      <c r="D55" s="13" t="s">
        <v>11</v>
      </c>
      <c r="I55" s="17">
        <v>1.2256</v>
      </c>
    </row>
    <row r="56" spans="1:9" ht="17">
      <c r="A56" s="1" t="s">
        <v>29</v>
      </c>
      <c r="B56" s="2">
        <v>2</v>
      </c>
      <c r="C56" s="1" t="s">
        <v>10</v>
      </c>
      <c r="D56" s="13" t="s">
        <v>11</v>
      </c>
      <c r="I56" s="17">
        <v>3.3679000000000001</v>
      </c>
    </row>
    <row r="57" spans="1:9" ht="17">
      <c r="A57" s="1" t="s">
        <v>29</v>
      </c>
      <c r="B57" s="2">
        <v>3</v>
      </c>
      <c r="C57" s="1" t="s">
        <v>15</v>
      </c>
      <c r="D57" s="13" t="s">
        <v>11</v>
      </c>
      <c r="I57" s="17">
        <v>2.3824999999999998</v>
      </c>
    </row>
    <row r="58" spans="1:9" ht="17">
      <c r="A58" s="1" t="s">
        <v>29</v>
      </c>
      <c r="B58" s="2">
        <v>4</v>
      </c>
      <c r="C58" s="1" t="s">
        <v>14</v>
      </c>
      <c r="D58" s="13" t="s">
        <v>11</v>
      </c>
      <c r="I58" s="17">
        <v>3.4487000000000001</v>
      </c>
    </row>
    <row r="59" spans="1:9" ht="17">
      <c r="A59" s="1" t="s">
        <v>30</v>
      </c>
      <c r="B59" s="2">
        <v>1</v>
      </c>
      <c r="C59" s="1" t="s">
        <v>10</v>
      </c>
      <c r="D59" s="13" t="s">
        <v>11</v>
      </c>
      <c r="I59" s="17">
        <v>3.9125999999999999</v>
      </c>
    </row>
    <row r="60" spans="1:9" ht="17">
      <c r="A60" s="1" t="s">
        <v>30</v>
      </c>
      <c r="B60" s="2">
        <v>2</v>
      </c>
      <c r="C60" s="1" t="s">
        <v>13</v>
      </c>
      <c r="D60" s="13" t="s">
        <v>11</v>
      </c>
      <c r="I60" s="17">
        <v>1.8224</v>
      </c>
    </row>
    <row r="61" spans="1:9" ht="17">
      <c r="A61" s="1" t="s">
        <v>30</v>
      </c>
      <c r="B61" s="2">
        <v>3</v>
      </c>
      <c r="C61" s="1" t="s">
        <v>15</v>
      </c>
      <c r="D61" s="13" t="s">
        <v>11</v>
      </c>
      <c r="I61" s="17">
        <v>3.8252000000000002</v>
      </c>
    </row>
    <row r="62" spans="1:9" ht="17">
      <c r="A62" s="1" t="s">
        <v>30</v>
      </c>
      <c r="B62" s="2">
        <v>4</v>
      </c>
      <c r="C62" s="1" t="s">
        <v>14</v>
      </c>
      <c r="D62" s="13" t="s">
        <v>11</v>
      </c>
      <c r="I62" s="17">
        <v>1.9719</v>
      </c>
    </row>
    <row r="63" spans="1:9" ht="17">
      <c r="A63" s="1" t="s">
        <v>31</v>
      </c>
      <c r="B63" s="2">
        <v>1</v>
      </c>
      <c r="C63" s="1" t="s">
        <v>13</v>
      </c>
      <c r="D63" s="13" t="s">
        <v>11</v>
      </c>
      <c r="I63" s="17">
        <v>1.3823000000000001</v>
      </c>
    </row>
    <row r="64" spans="1:9" ht="17">
      <c r="A64" s="1" t="s">
        <v>31</v>
      </c>
      <c r="B64" s="2">
        <v>2</v>
      </c>
      <c r="C64" s="1" t="s">
        <v>10</v>
      </c>
      <c r="D64" s="13" t="s">
        <v>11</v>
      </c>
      <c r="I64" s="17">
        <v>1.7981</v>
      </c>
    </row>
    <row r="65" spans="1:9" ht="17">
      <c r="A65" s="1" t="s">
        <v>31</v>
      </c>
      <c r="B65" s="2">
        <v>3</v>
      </c>
      <c r="C65" s="1" t="s">
        <v>14</v>
      </c>
      <c r="D65" s="13" t="s">
        <v>11</v>
      </c>
      <c r="I65" s="17">
        <v>1.3876999999999999</v>
      </c>
    </row>
    <row r="66" spans="1:9" ht="17">
      <c r="A66" s="1" t="s">
        <v>31</v>
      </c>
      <c r="B66" s="2">
        <v>4</v>
      </c>
      <c r="C66" s="1" t="s">
        <v>15</v>
      </c>
      <c r="D66" s="13" t="s">
        <v>11</v>
      </c>
      <c r="I66" s="17">
        <v>1.3213999999999999</v>
      </c>
    </row>
    <row r="67" spans="1:9" ht="17">
      <c r="A67" s="1" t="s">
        <v>32</v>
      </c>
      <c r="B67" s="2">
        <v>1</v>
      </c>
      <c r="C67" s="1" t="s">
        <v>10</v>
      </c>
      <c r="D67" s="13" t="s">
        <v>11</v>
      </c>
      <c r="I67" s="16">
        <v>0.17299999999999999</v>
      </c>
    </row>
    <row r="68" spans="1:9" ht="17">
      <c r="A68" s="1" t="s">
        <v>32</v>
      </c>
      <c r="B68" s="2">
        <v>2</v>
      </c>
      <c r="C68" s="1" t="s">
        <v>13</v>
      </c>
      <c r="D68" s="13" t="s">
        <v>11</v>
      </c>
      <c r="I68" s="16">
        <v>3.25</v>
      </c>
    </row>
    <row r="69" spans="1:9" ht="17">
      <c r="A69" s="1" t="s">
        <v>32</v>
      </c>
      <c r="B69" s="2">
        <v>3</v>
      </c>
      <c r="C69" s="1" t="s">
        <v>14</v>
      </c>
      <c r="D69" s="13" t="s">
        <v>11</v>
      </c>
      <c r="I69" s="17">
        <v>1.2764</v>
      </c>
    </row>
    <row r="70" spans="1:9" ht="17">
      <c r="A70" s="1" t="s">
        <v>32</v>
      </c>
      <c r="B70" s="2">
        <v>4</v>
      </c>
      <c r="C70" s="1" t="s">
        <v>15</v>
      </c>
      <c r="D70" s="13" t="s">
        <v>11</v>
      </c>
      <c r="I70" s="17">
        <v>2.1118000000000001</v>
      </c>
    </row>
    <row r="71" spans="1:9" ht="17">
      <c r="A71" s="1" t="s">
        <v>33</v>
      </c>
      <c r="B71" s="2">
        <v>1</v>
      </c>
      <c r="C71" s="1" t="s">
        <v>13</v>
      </c>
      <c r="D71" s="13" t="s">
        <v>11</v>
      </c>
      <c r="I71" s="17">
        <v>1.8949</v>
      </c>
    </row>
    <row r="72" spans="1:9" ht="17">
      <c r="A72" s="1" t="s">
        <v>33</v>
      </c>
      <c r="B72" s="2">
        <v>2</v>
      </c>
      <c r="C72" s="1" t="s">
        <v>10</v>
      </c>
      <c r="D72" s="13" t="s">
        <v>11</v>
      </c>
      <c r="I72" s="16">
        <v>1.2989999999999999</v>
      </c>
    </row>
    <row r="73" spans="1:9" ht="17">
      <c r="A73" s="1" t="s">
        <v>33</v>
      </c>
      <c r="B73" s="2">
        <v>3</v>
      </c>
      <c r="C73" s="1" t="s">
        <v>15</v>
      </c>
      <c r="D73" s="13" t="s">
        <v>11</v>
      </c>
      <c r="I73" s="17">
        <v>1.8468</v>
      </c>
    </row>
    <row r="74" spans="1:9" ht="17">
      <c r="A74" s="1" t="s">
        <v>33</v>
      </c>
      <c r="B74" s="2">
        <v>4</v>
      </c>
      <c r="C74" s="1" t="s">
        <v>14</v>
      </c>
      <c r="D74" s="13" t="s">
        <v>11</v>
      </c>
      <c r="I74" s="17">
        <v>2.9226000000000001</v>
      </c>
    </row>
    <row r="75" spans="1:9" ht="17">
      <c r="A75" s="1" t="s">
        <v>34</v>
      </c>
      <c r="B75" s="2">
        <v>1</v>
      </c>
      <c r="C75" s="1" t="s">
        <v>10</v>
      </c>
      <c r="D75" s="13" t="s">
        <v>11</v>
      </c>
      <c r="I75" s="17">
        <v>1.4986999999999999</v>
      </c>
    </row>
    <row r="76" spans="1:9" ht="17">
      <c r="A76" s="1" t="s">
        <v>34</v>
      </c>
      <c r="B76" s="2">
        <v>2</v>
      </c>
      <c r="C76" s="1" t="s">
        <v>13</v>
      </c>
      <c r="D76" s="13" t="s">
        <v>11</v>
      </c>
      <c r="I76" s="17">
        <v>1.4123000000000001</v>
      </c>
    </row>
    <row r="77" spans="1:9" ht="17">
      <c r="A77" s="1" t="s">
        <v>34</v>
      </c>
      <c r="B77" s="2">
        <v>3</v>
      </c>
      <c r="C77" s="1" t="s">
        <v>14</v>
      </c>
      <c r="D77" s="13" t="s">
        <v>11</v>
      </c>
      <c r="I77" s="16">
        <v>3.5150000000000001</v>
      </c>
    </row>
    <row r="78" spans="1:9" ht="17">
      <c r="A78" s="1" t="s">
        <v>34</v>
      </c>
      <c r="B78" s="2">
        <v>4</v>
      </c>
      <c r="C78" s="1" t="s">
        <v>15</v>
      </c>
      <c r="D78" s="13" t="s">
        <v>11</v>
      </c>
      <c r="I78" s="17">
        <v>3.4681000000000002</v>
      </c>
    </row>
    <row r="79" spans="1:9" ht="17">
      <c r="A79" s="1" t="s">
        <v>35</v>
      </c>
      <c r="B79" s="2">
        <v>1</v>
      </c>
      <c r="C79" s="1" t="s">
        <v>13</v>
      </c>
      <c r="D79" s="13" t="s">
        <v>11</v>
      </c>
      <c r="I79" s="17">
        <v>2.0594000000000001</v>
      </c>
    </row>
    <row r="80" spans="1:9" ht="17">
      <c r="A80" s="1" t="s">
        <v>35</v>
      </c>
      <c r="B80" s="2">
        <v>2</v>
      </c>
      <c r="C80" s="1" t="s">
        <v>10</v>
      </c>
      <c r="D80" s="13" t="s">
        <v>11</v>
      </c>
      <c r="I80" s="17">
        <v>4.0471000000000004</v>
      </c>
    </row>
    <row r="81" spans="1:9" ht="17">
      <c r="A81" s="1" t="s">
        <v>35</v>
      </c>
      <c r="B81" s="2">
        <v>3</v>
      </c>
      <c r="C81" s="1" t="s">
        <v>15</v>
      </c>
      <c r="D81" s="13" t="s">
        <v>11</v>
      </c>
      <c r="I81" s="17">
        <v>1.7099</v>
      </c>
    </row>
    <row r="82" spans="1:9" ht="17">
      <c r="A82" s="1" t="s">
        <v>35</v>
      </c>
      <c r="B82" s="2">
        <v>4</v>
      </c>
      <c r="C82" s="1" t="s">
        <v>14</v>
      </c>
      <c r="D82" s="13" t="s">
        <v>11</v>
      </c>
      <c r="I82" s="17">
        <v>1.4297</v>
      </c>
    </row>
    <row r="83" spans="1:9" ht="17">
      <c r="A83" s="7" t="s">
        <v>36</v>
      </c>
      <c r="B83" s="8">
        <v>1</v>
      </c>
      <c r="C83" s="7" t="s">
        <v>10</v>
      </c>
      <c r="D83" s="14" t="s">
        <v>37</v>
      </c>
      <c r="E83">
        <v>44283</v>
      </c>
      <c r="F83">
        <v>43783</v>
      </c>
      <c r="G83">
        <f>E83-F83</f>
        <v>500</v>
      </c>
      <c r="H83">
        <f>AVERAGE(E83,F83)</f>
        <v>44033</v>
      </c>
      <c r="I83" s="17">
        <v>44033.34</v>
      </c>
    </row>
    <row r="84" spans="1:9" ht="17">
      <c r="A84" s="1" t="s">
        <v>36</v>
      </c>
      <c r="B84" s="2">
        <v>2</v>
      </c>
      <c r="C84" s="1" t="s">
        <v>13</v>
      </c>
      <c r="D84" s="13" t="s">
        <v>11</v>
      </c>
      <c r="I84" s="17">
        <v>3.8927999999999998</v>
      </c>
    </row>
    <row r="85" spans="1:9" ht="17">
      <c r="A85" s="1" t="s">
        <v>36</v>
      </c>
      <c r="B85" s="2">
        <v>3</v>
      </c>
      <c r="C85" s="1" t="s">
        <v>14</v>
      </c>
      <c r="D85" s="13" t="s">
        <v>11</v>
      </c>
      <c r="I85" s="17">
        <v>2.1236999999999999</v>
      </c>
    </row>
    <row r="86" spans="1:9" ht="17">
      <c r="A86" s="1" t="s">
        <v>36</v>
      </c>
      <c r="B86" s="2">
        <v>4</v>
      </c>
      <c r="C86" s="1" t="s">
        <v>15</v>
      </c>
      <c r="D86" s="13" t="s">
        <v>11</v>
      </c>
      <c r="I86" s="17">
        <v>3.5053000000000001</v>
      </c>
    </row>
    <row r="87" spans="1:9" ht="17">
      <c r="A87" s="1" t="s">
        <v>38</v>
      </c>
      <c r="B87" s="2">
        <v>1</v>
      </c>
      <c r="C87" s="1" t="s">
        <v>13</v>
      </c>
      <c r="D87" s="13" t="s">
        <v>11</v>
      </c>
      <c r="I87" s="17">
        <v>1.2515000000000001</v>
      </c>
    </row>
    <row r="88" spans="1:9" ht="17">
      <c r="A88" s="1" t="s">
        <v>38</v>
      </c>
      <c r="B88" s="2">
        <v>2</v>
      </c>
      <c r="C88" s="1" t="s">
        <v>10</v>
      </c>
      <c r="D88" s="13" t="s">
        <v>11</v>
      </c>
      <c r="I88" s="16">
        <v>1.1910000000000001</v>
      </c>
    </row>
    <row r="89" spans="1:9" ht="17">
      <c r="A89" s="1" t="s">
        <v>38</v>
      </c>
      <c r="B89" s="2">
        <v>3</v>
      </c>
      <c r="C89" s="1" t="s">
        <v>15</v>
      </c>
      <c r="D89" s="13" t="s">
        <v>11</v>
      </c>
      <c r="I89" s="17">
        <v>1.3812</v>
      </c>
    </row>
    <row r="90" spans="1:9" ht="17">
      <c r="A90" s="1" t="s">
        <v>38</v>
      </c>
      <c r="B90" s="2">
        <v>4</v>
      </c>
      <c r="C90" s="1" t="s">
        <v>14</v>
      </c>
      <c r="D90" s="13" t="s">
        <v>11</v>
      </c>
      <c r="I90" s="17">
        <v>1.3765000000000001</v>
      </c>
    </row>
    <row r="91" spans="1:9" ht="17">
      <c r="A91" s="1" t="s">
        <v>39</v>
      </c>
      <c r="B91" s="2">
        <v>1</v>
      </c>
      <c r="C91" s="1" t="s">
        <v>10</v>
      </c>
      <c r="D91" s="13" t="s">
        <v>11</v>
      </c>
      <c r="I91" s="16">
        <v>2.085</v>
      </c>
    </row>
    <row r="92" spans="1:9" ht="17">
      <c r="A92" s="1" t="s">
        <v>39</v>
      </c>
      <c r="B92" s="2">
        <v>2</v>
      </c>
      <c r="C92" s="1" t="s">
        <v>13</v>
      </c>
      <c r="D92" s="13" t="s">
        <v>11</v>
      </c>
      <c r="I92" s="17">
        <v>1.4054</v>
      </c>
    </row>
    <row r="93" spans="1:9" ht="17">
      <c r="A93" s="1" t="s">
        <v>39</v>
      </c>
      <c r="B93" s="2">
        <v>3</v>
      </c>
      <c r="C93" s="1" t="s">
        <v>14</v>
      </c>
      <c r="D93" s="13" t="s">
        <v>11</v>
      </c>
      <c r="I93" s="17">
        <v>1.2732000000000001</v>
      </c>
    </row>
    <row r="94" spans="1:9" ht="17">
      <c r="A94" s="1" t="s">
        <v>39</v>
      </c>
      <c r="B94" s="2">
        <v>4</v>
      </c>
      <c r="C94" s="1" t="s">
        <v>15</v>
      </c>
      <c r="D94" s="13" t="s">
        <v>11</v>
      </c>
      <c r="I94" s="17">
        <v>1.2491000000000001</v>
      </c>
    </row>
    <row r="95" spans="1:9" ht="17">
      <c r="A95" s="1" t="s">
        <v>40</v>
      </c>
      <c r="B95" s="2">
        <v>1</v>
      </c>
      <c r="C95" s="1" t="s">
        <v>13</v>
      </c>
      <c r="D95" s="13" t="s">
        <v>11</v>
      </c>
      <c r="I95" s="17">
        <v>4.0354999999999999</v>
      </c>
    </row>
    <row r="96" spans="1:9" ht="17">
      <c r="A96" s="1" t="s">
        <v>40</v>
      </c>
      <c r="B96" s="2">
        <v>2</v>
      </c>
      <c r="C96" s="1" t="s">
        <v>10</v>
      </c>
      <c r="D96" s="13" t="s">
        <v>11</v>
      </c>
      <c r="I96" s="17">
        <v>1.4986999999999999</v>
      </c>
    </row>
    <row r="97" spans="1:9" ht="17">
      <c r="A97" s="1" t="s">
        <v>40</v>
      </c>
      <c r="B97" s="2">
        <v>3</v>
      </c>
      <c r="C97" s="1" t="s">
        <v>15</v>
      </c>
      <c r="D97" s="13" t="s">
        <v>11</v>
      </c>
      <c r="I97" s="17">
        <v>2.2431000000000001</v>
      </c>
    </row>
    <row r="98" spans="1:9" ht="17">
      <c r="A98" s="1" t="s">
        <v>40</v>
      </c>
      <c r="B98" s="2">
        <v>4</v>
      </c>
      <c r="C98" s="1" t="s">
        <v>14</v>
      </c>
      <c r="D98" s="13" t="s">
        <v>11</v>
      </c>
      <c r="I98" s="17">
        <v>2.0865999999999998</v>
      </c>
    </row>
    <row r="99" spans="1:9" ht="17">
      <c r="A99" s="1" t="s">
        <v>41</v>
      </c>
      <c r="B99" s="2">
        <v>1</v>
      </c>
      <c r="C99" s="1" t="s">
        <v>10</v>
      </c>
      <c r="D99" s="13" t="s">
        <v>11</v>
      </c>
      <c r="I99" s="17">
        <v>1.3325</v>
      </c>
    </row>
    <row r="100" spans="1:9" ht="17">
      <c r="A100" s="1" t="s">
        <v>41</v>
      </c>
      <c r="B100" s="2">
        <v>2</v>
      </c>
      <c r="C100" s="1" t="s">
        <v>13</v>
      </c>
      <c r="D100" s="13" t="s">
        <v>11</v>
      </c>
      <c r="I100" s="17">
        <v>3.7884000000000002</v>
      </c>
    </row>
    <row r="101" spans="1:9" ht="17">
      <c r="A101" s="1" t="s">
        <v>41</v>
      </c>
      <c r="B101" s="2">
        <v>3</v>
      </c>
      <c r="C101" s="1" t="s">
        <v>15</v>
      </c>
      <c r="D101" s="13" t="s">
        <v>11</v>
      </c>
      <c r="I101" s="17">
        <v>1.8631</v>
      </c>
    </row>
    <row r="102" spans="1:9" ht="17">
      <c r="A102" s="1" t="s">
        <v>41</v>
      </c>
      <c r="B102" s="2">
        <v>4</v>
      </c>
      <c r="C102" s="1" t="s">
        <v>14</v>
      </c>
      <c r="D102" s="13" t="s">
        <v>11</v>
      </c>
      <c r="I102" s="17">
        <v>1.8832</v>
      </c>
    </row>
    <row r="103" spans="1:9" ht="17">
      <c r="A103" s="1" t="s">
        <v>42</v>
      </c>
      <c r="B103" s="2">
        <v>1</v>
      </c>
      <c r="C103" s="1" t="s">
        <v>13</v>
      </c>
      <c r="D103" s="13" t="s">
        <v>11</v>
      </c>
      <c r="I103" s="17">
        <v>3.0964</v>
      </c>
    </row>
    <row r="104" spans="1:9" ht="17">
      <c r="A104" s="1" t="s">
        <v>42</v>
      </c>
      <c r="B104" s="2">
        <v>2</v>
      </c>
      <c r="C104" s="1" t="s">
        <v>10</v>
      </c>
      <c r="D104" s="13" t="s">
        <v>11</v>
      </c>
      <c r="I104" s="16">
        <v>1.2370000000000001</v>
      </c>
    </row>
    <row r="105" spans="1:9" ht="17">
      <c r="A105" s="1" t="s">
        <v>42</v>
      </c>
      <c r="B105" s="2">
        <v>3</v>
      </c>
      <c r="C105" s="1" t="s">
        <v>14</v>
      </c>
      <c r="D105" s="13" t="s">
        <v>11</v>
      </c>
      <c r="I105" s="17">
        <v>4.1033999999999997</v>
      </c>
    </row>
    <row r="106" spans="1:9" ht="17">
      <c r="A106" s="1" t="s">
        <v>42</v>
      </c>
      <c r="B106" s="2">
        <v>4</v>
      </c>
      <c r="C106" s="1" t="s">
        <v>15</v>
      </c>
      <c r="D106" s="13" t="s">
        <v>11</v>
      </c>
      <c r="I106" s="17">
        <v>1.3748</v>
      </c>
    </row>
    <row r="107" spans="1:9" ht="17">
      <c r="A107" s="1" t="s">
        <v>43</v>
      </c>
      <c r="B107" s="2">
        <v>1</v>
      </c>
      <c r="C107" s="1" t="s">
        <v>10</v>
      </c>
      <c r="D107" s="13" t="s">
        <v>11</v>
      </c>
      <c r="I107" s="17">
        <v>4.1280999999999999</v>
      </c>
    </row>
    <row r="108" spans="1:9" ht="17">
      <c r="A108" s="1" t="s">
        <v>43</v>
      </c>
      <c r="B108" s="2">
        <v>2</v>
      </c>
      <c r="C108" s="1" t="s">
        <v>13</v>
      </c>
      <c r="D108" s="13" t="s">
        <v>11</v>
      </c>
      <c r="I108" s="17">
        <v>3.3534000000000002</v>
      </c>
    </row>
    <row r="109" spans="1:9" ht="17">
      <c r="A109" s="1" t="s">
        <v>43</v>
      </c>
      <c r="B109" s="2">
        <v>3</v>
      </c>
      <c r="C109" s="1" t="s">
        <v>14</v>
      </c>
      <c r="D109" s="13" t="s">
        <v>11</v>
      </c>
      <c r="I109" s="17">
        <v>2.4695</v>
      </c>
    </row>
    <row r="110" spans="1:9" ht="17">
      <c r="A110" s="1" t="s">
        <v>43</v>
      </c>
      <c r="B110" s="2">
        <v>4</v>
      </c>
      <c r="C110" s="1" t="s">
        <v>15</v>
      </c>
      <c r="D110" s="13" t="s">
        <v>11</v>
      </c>
      <c r="I110" s="16">
        <v>1.772</v>
      </c>
    </row>
    <row r="111" spans="1:9" ht="17">
      <c r="A111" s="1" t="s">
        <v>44</v>
      </c>
      <c r="B111" s="2">
        <v>1</v>
      </c>
      <c r="C111" s="1" t="s">
        <v>13</v>
      </c>
      <c r="D111" s="13" t="s">
        <v>11</v>
      </c>
      <c r="I111" s="17">
        <v>3.9182999999999999</v>
      </c>
    </row>
    <row r="112" spans="1:9" ht="17">
      <c r="A112" s="1" t="s">
        <v>44</v>
      </c>
      <c r="B112" s="2">
        <v>2</v>
      </c>
      <c r="C112" s="1" t="s">
        <v>10</v>
      </c>
      <c r="D112" s="13" t="s">
        <v>11</v>
      </c>
      <c r="I112" s="17">
        <v>1.7927999999999999</v>
      </c>
    </row>
    <row r="113" spans="1:9" ht="17">
      <c r="A113" s="1" t="s">
        <v>44</v>
      </c>
      <c r="B113" s="2">
        <v>3</v>
      </c>
      <c r="C113" s="1" t="s">
        <v>15</v>
      </c>
      <c r="D113" s="13" t="s">
        <v>11</v>
      </c>
      <c r="I113" s="17">
        <v>1.4775</v>
      </c>
    </row>
    <row r="114" spans="1:9" ht="17">
      <c r="A114" s="1" t="s">
        <v>44</v>
      </c>
      <c r="B114" s="2">
        <v>4</v>
      </c>
      <c r="C114" s="1" t="s">
        <v>14</v>
      </c>
      <c r="D114" s="13" t="s">
        <v>11</v>
      </c>
      <c r="I114" s="17">
        <v>1.4632000000000001</v>
      </c>
    </row>
    <row r="115" spans="1:9" ht="17">
      <c r="A115" s="1" t="s">
        <v>45</v>
      </c>
      <c r="B115" s="2">
        <v>1</v>
      </c>
      <c r="C115" s="1" t="s">
        <v>10</v>
      </c>
      <c r="D115" s="13" t="s">
        <v>11</v>
      </c>
      <c r="I115" s="17">
        <v>2.4756</v>
      </c>
    </row>
    <row r="116" spans="1:9" ht="17">
      <c r="A116" s="1" t="s">
        <v>45</v>
      </c>
      <c r="B116" s="2">
        <v>2</v>
      </c>
      <c r="C116" s="1" t="s">
        <v>13</v>
      </c>
      <c r="D116" s="13" t="s">
        <v>11</v>
      </c>
      <c r="I116" s="17">
        <v>1.7366999999999999</v>
      </c>
    </row>
    <row r="117" spans="1:9" ht="17">
      <c r="A117" s="1" t="s">
        <v>45</v>
      </c>
      <c r="B117" s="2">
        <v>3</v>
      </c>
      <c r="C117" s="1" t="s">
        <v>14</v>
      </c>
      <c r="D117" s="13" t="s">
        <v>11</v>
      </c>
      <c r="I117" s="17">
        <v>1.3486</v>
      </c>
    </row>
    <row r="118" spans="1:9" ht="17">
      <c r="A118" s="1" t="s">
        <v>45</v>
      </c>
      <c r="B118" s="2">
        <v>4</v>
      </c>
      <c r="C118" s="1" t="s">
        <v>15</v>
      </c>
      <c r="D118" s="13" t="s">
        <v>11</v>
      </c>
      <c r="I118" s="17">
        <v>3.3599000000000001</v>
      </c>
    </row>
    <row r="119" spans="1:9" ht="17">
      <c r="A119" s="1" t="s">
        <v>46</v>
      </c>
      <c r="B119" s="2">
        <v>1</v>
      </c>
      <c r="C119" s="1" t="s">
        <v>13</v>
      </c>
      <c r="D119" s="13" t="s">
        <v>11</v>
      </c>
      <c r="I119" s="17">
        <v>1.7131000000000001</v>
      </c>
    </row>
    <row r="120" spans="1:9" ht="17">
      <c r="A120" s="1" t="s">
        <v>46</v>
      </c>
      <c r="B120" s="2">
        <v>2</v>
      </c>
      <c r="C120" s="1" t="s">
        <v>10</v>
      </c>
      <c r="D120" s="13" t="s">
        <v>11</v>
      </c>
      <c r="I120" s="17">
        <v>1.2906</v>
      </c>
    </row>
    <row r="121" spans="1:9" ht="17">
      <c r="A121" s="1" t="s">
        <v>46</v>
      </c>
      <c r="B121" s="2">
        <v>3</v>
      </c>
      <c r="C121" s="1" t="s">
        <v>15</v>
      </c>
      <c r="D121" s="13" t="s">
        <v>11</v>
      </c>
      <c r="I121" s="17">
        <v>3.1648000000000001</v>
      </c>
    </row>
    <row r="122" spans="1:9" ht="17">
      <c r="A122" s="1" t="s">
        <v>46</v>
      </c>
      <c r="B122" s="2">
        <v>4</v>
      </c>
      <c r="C122" s="1" t="s">
        <v>14</v>
      </c>
      <c r="D122" s="13" t="s">
        <v>11</v>
      </c>
      <c r="I122" s="17">
        <v>1.8917999999999999</v>
      </c>
    </row>
    <row r="123" spans="1:9" ht="17">
      <c r="A123" s="1" t="s">
        <v>47</v>
      </c>
      <c r="B123" s="2">
        <v>1</v>
      </c>
      <c r="C123" s="1" t="s">
        <v>10</v>
      </c>
      <c r="D123" s="13" t="s">
        <v>11</v>
      </c>
      <c r="I123" s="17">
        <v>1.7844</v>
      </c>
    </row>
    <row r="124" spans="1:9" ht="17">
      <c r="A124" s="1" t="s">
        <v>47</v>
      </c>
      <c r="B124" s="2">
        <v>2</v>
      </c>
      <c r="C124" s="1" t="s">
        <v>13</v>
      </c>
      <c r="D124" s="13" t="s">
        <v>11</v>
      </c>
      <c r="I124" s="17">
        <v>2.1972</v>
      </c>
    </row>
    <row r="125" spans="1:9" ht="17">
      <c r="A125" s="1" t="s">
        <v>47</v>
      </c>
      <c r="B125" s="2">
        <v>3</v>
      </c>
      <c r="C125" s="1" t="s">
        <v>14</v>
      </c>
      <c r="D125" s="13" t="s">
        <v>11</v>
      </c>
      <c r="I125" s="17">
        <v>4.3489000000000004</v>
      </c>
    </row>
    <row r="126" spans="1:9" ht="17">
      <c r="A126" s="1" t="s">
        <v>47</v>
      </c>
      <c r="B126" s="2">
        <v>4</v>
      </c>
      <c r="C126" s="1" t="s">
        <v>15</v>
      </c>
      <c r="D126" s="13" t="s">
        <v>11</v>
      </c>
      <c r="I126" s="17">
        <v>0.14560000000000001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raw_eye_time</vt:lpstr>
      <vt:lpstr>asc_achor_time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huilin fang</cp:lastModifiedBy>
  <dcterms:modified xsi:type="dcterms:W3CDTF">2026-09-11T05:56:32Z</dcterms:modified>
</cp:coreProperties>
</file>